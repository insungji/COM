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7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90" windowWidth="15075" windowHeight="3930" tabRatio="884"/>
  </bookViews>
  <sheets>
    <sheet name="차트1(예제)" sheetId="7" r:id="rId1"/>
    <sheet name="차트1(결과)" sheetId="1" r:id="rId2"/>
    <sheet name="차트2(예제)" sheetId="2" r:id="rId3"/>
    <sheet name="차트2(결과)" sheetId="8" r:id="rId4"/>
    <sheet name="차트3(예제)" sheetId="3" r:id="rId5"/>
    <sheet name="차트3(결과)" sheetId="9" r:id="rId6"/>
    <sheet name="사원현황(예제)" sheetId="4" r:id="rId7"/>
    <sheet name="수강등록(예제)" sheetId="5" r:id="rId8"/>
    <sheet name="조회(예제)" sheetId="6" r:id="rId9"/>
  </sheets>
  <calcPr calcId="145621"/>
</workbook>
</file>

<file path=xl/calcChain.xml><?xml version="1.0" encoding="utf-8"?>
<calcChain xmlns="http://schemas.openxmlformats.org/spreadsheetml/2006/main">
  <c r="E8" i="8" l="1"/>
  <c r="E7" i="8"/>
  <c r="E6" i="8"/>
  <c r="E5" i="8"/>
  <c r="E8" i="2"/>
  <c r="E7" i="2"/>
  <c r="E6" i="2"/>
  <c r="E5" i="2"/>
</calcChain>
</file>

<file path=xl/sharedStrings.xml><?xml version="1.0" encoding="utf-8"?>
<sst xmlns="http://schemas.openxmlformats.org/spreadsheetml/2006/main" count="275" uniqueCount="120">
  <si>
    <t>부서</t>
  </si>
  <si>
    <t>성명</t>
  </si>
  <si>
    <t>성별</t>
  </si>
  <si>
    <t>직위</t>
  </si>
  <si>
    <t>입사일자</t>
  </si>
  <si>
    <t>기본급</t>
  </si>
  <si>
    <t>수당</t>
  </si>
  <si>
    <t>세금</t>
  </si>
  <si>
    <t>본봉</t>
  </si>
  <si>
    <t>자재부</t>
  </si>
  <si>
    <t>은현희</t>
  </si>
  <si>
    <t>여</t>
  </si>
  <si>
    <t>사원</t>
  </si>
  <si>
    <t>박성수</t>
  </si>
  <si>
    <t>남</t>
  </si>
  <si>
    <t>과장</t>
  </si>
  <si>
    <t>문경태</t>
  </si>
  <si>
    <t>고춘자</t>
  </si>
  <si>
    <t>대리</t>
  </si>
  <si>
    <t>오창곤</t>
  </si>
  <si>
    <t>정수정</t>
  </si>
  <si>
    <t>채상유</t>
  </si>
  <si>
    <t>정진영</t>
  </si>
  <si>
    <t>개발부</t>
  </si>
  <si>
    <t>홍길동</t>
  </si>
  <si>
    <t>복분자</t>
  </si>
  <si>
    <t>김수철</t>
  </si>
  <si>
    <t>사원입사현황</t>
    <phoneticPr fontId="3" type="noConversion"/>
  </si>
  <si>
    <t>1차교육</t>
  </si>
  <si>
    <t>2차교육</t>
  </si>
  <si>
    <t>3차교육</t>
  </si>
  <si>
    <t>관리부</t>
  </si>
  <si>
    <t>기획부</t>
  </si>
  <si>
    <t>총무부</t>
  </si>
  <si>
    <t>영업부</t>
  </si>
  <si>
    <t>부서별 성적 현황</t>
    <phoneticPr fontId="3" type="noConversion"/>
  </si>
  <si>
    <t>평균</t>
    <phoneticPr fontId="3" type="noConversion"/>
  </si>
  <si>
    <t>영업2부</t>
  </si>
  <si>
    <t>노지심</t>
  </si>
  <si>
    <t>영업1부</t>
  </si>
  <si>
    <t>송치윤</t>
  </si>
  <si>
    <t>영업4부</t>
  </si>
  <si>
    <t>영업3부</t>
  </si>
  <si>
    <t>이수진</t>
  </si>
  <si>
    <t>이인상</t>
  </si>
  <si>
    <t>이충렬</t>
  </si>
  <si>
    <t>제갈량</t>
  </si>
  <si>
    <t>조자룡</t>
  </si>
  <si>
    <t>부장</t>
    <phoneticPr fontId="3" type="noConversion"/>
  </si>
  <si>
    <t>부장</t>
    <phoneticPr fontId="3" type="noConversion"/>
  </si>
  <si>
    <t>이관우</t>
    <phoneticPr fontId="10" type="noConversion"/>
  </si>
  <si>
    <t>이봉주</t>
    <phoneticPr fontId="10" type="noConversion"/>
  </si>
  <si>
    <t>이양양</t>
    <phoneticPr fontId="10" type="noConversion"/>
  </si>
  <si>
    <t>부장</t>
    <phoneticPr fontId="3" type="noConversion"/>
  </si>
  <si>
    <t>장유비</t>
    <phoneticPr fontId="10" type="noConversion"/>
  </si>
  <si>
    <t>부장</t>
    <phoneticPr fontId="3" type="noConversion"/>
  </si>
  <si>
    <t>영업 현황</t>
    <phoneticPr fontId="3" type="noConversion"/>
  </si>
  <si>
    <t>이름</t>
    <phoneticPr fontId="3" type="noConversion"/>
  </si>
  <si>
    <t>직책</t>
    <phoneticPr fontId="3" type="noConversion"/>
  </si>
  <si>
    <t>부서</t>
    <phoneticPr fontId="3" type="noConversion"/>
  </si>
  <si>
    <t>목표액</t>
    <phoneticPr fontId="3" type="noConversion"/>
  </si>
  <si>
    <t>달성액</t>
    <phoneticPr fontId="10" type="noConversion"/>
  </si>
  <si>
    <t>김사원</t>
    <phoneticPr fontId="10" type="noConversion"/>
  </si>
  <si>
    <t>김흥부</t>
    <phoneticPr fontId="10" type="noConversion"/>
  </si>
  <si>
    <t>신입사원현황</t>
    <phoneticPr fontId="3" type="noConversion"/>
  </si>
  <si>
    <t>부서명</t>
    <phoneticPr fontId="11" type="noConversion"/>
  </si>
  <si>
    <t>사원명</t>
    <phoneticPr fontId="11" type="noConversion"/>
  </si>
  <si>
    <t>입사일자</t>
    <phoneticPr fontId="3" type="noConversion"/>
  </si>
  <si>
    <t>총무부</t>
    <phoneticPr fontId="11" type="noConversion"/>
  </si>
  <si>
    <t>인사부</t>
    <phoneticPr fontId="11" type="noConversion"/>
  </si>
  <si>
    <t>영업부</t>
    <phoneticPr fontId="11" type="noConversion"/>
  </si>
  <si>
    <t>전산부</t>
    <phoneticPr fontId="11" type="noConversion"/>
  </si>
  <si>
    <t>관리부</t>
    <phoneticPr fontId="11" type="noConversion"/>
  </si>
  <si>
    <t>과목</t>
  </si>
  <si>
    <t>[표1]</t>
    <phoneticPr fontId="3" type="noConversion"/>
  </si>
  <si>
    <t>접수자</t>
    <phoneticPr fontId="3" type="noConversion"/>
  </si>
  <si>
    <t>수강개월</t>
    <phoneticPr fontId="3" type="noConversion"/>
  </si>
  <si>
    <t>접수코드</t>
    <phoneticPr fontId="3" type="noConversion"/>
  </si>
  <si>
    <t>과목강사</t>
    <phoneticPr fontId="3" type="noConversion"/>
  </si>
  <si>
    <t>수강료</t>
    <phoneticPr fontId="3" type="noConversion"/>
  </si>
  <si>
    <t>접수코드</t>
  </si>
  <si>
    <t>A100</t>
  </si>
  <si>
    <t>신동길</t>
  </si>
  <si>
    <t>A200</t>
  </si>
  <si>
    <t>국사</t>
  </si>
  <si>
    <t>고두심</t>
  </si>
  <si>
    <t>노현정</t>
  </si>
  <si>
    <t>조예슬</t>
  </si>
  <si>
    <t>김태희</t>
  </si>
  <si>
    <t>유인촌</t>
  </si>
  <si>
    <t>고전</t>
    <phoneticPr fontId="3" type="noConversion"/>
  </si>
  <si>
    <t>김솔유</t>
    <phoneticPr fontId="3" type="noConversion"/>
  </si>
  <si>
    <t>B100</t>
    <phoneticPr fontId="3" type="noConversion"/>
  </si>
  <si>
    <t>B200</t>
    <phoneticPr fontId="3" type="noConversion"/>
  </si>
  <si>
    <t>현대사</t>
    <phoneticPr fontId="3" type="noConversion"/>
  </si>
  <si>
    <t>C100</t>
    <phoneticPr fontId="3" type="noConversion"/>
  </si>
  <si>
    <t>영어</t>
    <phoneticPr fontId="3" type="noConversion"/>
  </si>
  <si>
    <t>C200</t>
    <phoneticPr fontId="3" type="noConversion"/>
  </si>
  <si>
    <t>문법</t>
    <phoneticPr fontId="3" type="noConversion"/>
  </si>
  <si>
    <t>박종훈</t>
    <phoneticPr fontId="3" type="noConversion"/>
  </si>
  <si>
    <t>D100</t>
    <phoneticPr fontId="3" type="noConversion"/>
  </si>
  <si>
    <t>수학</t>
    <phoneticPr fontId="3" type="noConversion"/>
  </si>
  <si>
    <t>정솔희</t>
    <phoneticPr fontId="3" type="noConversion"/>
  </si>
  <si>
    <t>D200</t>
    <phoneticPr fontId="3" type="noConversion"/>
  </si>
  <si>
    <t>과탐</t>
    <phoneticPr fontId="3" type="noConversion"/>
  </si>
  <si>
    <t>E300</t>
    <phoneticPr fontId="3" type="noConversion"/>
  </si>
  <si>
    <t>사탐</t>
    <phoneticPr fontId="3" type="noConversion"/>
  </si>
  <si>
    <t>[참조표]</t>
    <phoneticPr fontId="3" type="noConversion"/>
  </si>
  <si>
    <t>과목</t>
    <phoneticPr fontId="3" type="noConversion"/>
  </si>
  <si>
    <t>월수강료</t>
    <phoneticPr fontId="3" type="noConversion"/>
  </si>
  <si>
    <t>국어</t>
    <phoneticPr fontId="3" type="noConversion"/>
  </si>
  <si>
    <t>보험종류</t>
    <phoneticPr fontId="3" type="noConversion"/>
  </si>
  <si>
    <t>월납부액</t>
    <phoneticPr fontId="3" type="noConversion"/>
  </si>
  <si>
    <t>납부총액</t>
    <phoneticPr fontId="3" type="noConversion"/>
  </si>
  <si>
    <t>이자총액</t>
    <phoneticPr fontId="3" type="noConversion"/>
  </si>
  <si>
    <t>건강저축보험</t>
    <phoneticPr fontId="3" type="noConversion"/>
  </si>
  <si>
    <t>주택저축보험</t>
    <phoneticPr fontId="3" type="noConversion"/>
  </si>
  <si>
    <t>목돈마련보험</t>
    <phoneticPr fontId="3" type="noConversion"/>
  </si>
  <si>
    <t>연금저축보험</t>
    <phoneticPr fontId="3" type="noConversion"/>
  </si>
  <si>
    <t>무지개저축보험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</si>
</sst>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_-* #,##0.0_-;\-* #,##0.0_-;_-* &quot;-&quot;_-;_-@_-"/>
    <numFmt numFmtId="177" formatCode="#,##0_ 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9"/>
      <name val="돋움"/>
      <family val="3"/>
      <charset val="129"/>
    </font>
    <font>
      <sz val="8"/>
      <name val="돋움체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/>
    <xf numFmtId="0" fontId="12" fillId="0" borderId="0"/>
  </cellStyleXfs>
  <cellXfs count="56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176" fontId="7" fillId="0" borderId="1" xfId="1" applyNumberFormat="1" applyFont="1" applyBorder="1" applyAlignment="1">
      <alignment vertical="center"/>
    </xf>
    <xf numFmtId="49" fontId="6" fillId="0" borderId="0" xfId="0" applyNumberFormat="1" applyFont="1" applyFill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7" fillId="0" borderId="0" xfId="2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1" applyFont="1" applyFill="1" applyBorder="1" applyAlignment="1">
      <alignment vertical="center"/>
    </xf>
    <xf numFmtId="41" fontId="7" fillId="0" borderId="0" xfId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2" borderId="2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0" fillId="0" borderId="0" xfId="0" applyNumberFormat="1" applyAlignment="1"/>
    <xf numFmtId="41" fontId="7" fillId="0" borderId="0" xfId="4" applyFont="1" applyAlignment="1">
      <alignment horizontal="center" vertical="center"/>
    </xf>
    <xf numFmtId="0" fontId="6" fillId="0" borderId="2" xfId="3" applyFont="1" applyBorder="1" applyAlignment="1">
      <alignment horizontal="center" vertical="center"/>
    </xf>
    <xf numFmtId="41" fontId="6" fillId="0" borderId="2" xfId="4" applyFont="1" applyBorder="1" applyAlignment="1">
      <alignment horizontal="center" vertical="center"/>
    </xf>
    <xf numFmtId="0" fontId="7" fillId="0" borderId="3" xfId="3" applyFont="1" applyBorder="1" applyAlignment="1">
      <alignment horizontal="center" vertical="center"/>
    </xf>
    <xf numFmtId="41" fontId="7" fillId="0" borderId="3" xfId="4" applyFont="1" applyBorder="1" applyAlignment="1">
      <alignment horizontal="center" vertical="center"/>
    </xf>
    <xf numFmtId="0" fontId="7" fillId="0" borderId="1" xfId="3" applyFont="1" applyBorder="1" applyAlignment="1">
      <alignment horizontal="center" vertical="center"/>
    </xf>
    <xf numFmtId="41" fontId="7" fillId="0" borderId="1" xfId="4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6" fillId="0" borderId="4" xfId="3" applyFont="1" applyFill="1" applyBorder="1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6" fillId="0" borderId="5" xfId="3" applyFont="1" applyBorder="1" applyAlignment="1">
      <alignment horizontal="center" vertical="center"/>
    </xf>
    <xf numFmtId="0" fontId="6" fillId="0" borderId="6" xfId="3" applyFont="1" applyBorder="1" applyAlignment="1">
      <alignment horizontal="center" vertical="center"/>
    </xf>
    <xf numFmtId="41" fontId="6" fillId="0" borderId="7" xfId="4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13" fillId="0" borderId="1" xfId="5" applyFont="1" applyFill="1" applyBorder="1" applyAlignment="1">
      <alignment horizontal="center" vertical="center" wrapText="1"/>
    </xf>
    <xf numFmtId="0" fontId="7" fillId="0" borderId="0" xfId="3" applyFont="1" applyBorder="1" applyAlignment="1">
      <alignment horizontal="center" vertical="center"/>
    </xf>
    <xf numFmtId="0" fontId="13" fillId="0" borderId="3" xfId="5" applyFont="1" applyFill="1" applyBorder="1" applyAlignment="1">
      <alignment horizontal="center" vertical="center" wrapText="1"/>
    </xf>
    <xf numFmtId="0" fontId="7" fillId="0" borderId="10" xfId="3" applyFont="1" applyBorder="1" applyAlignment="1">
      <alignment horizontal="center" vertical="center"/>
    </xf>
    <xf numFmtId="0" fontId="13" fillId="0" borderId="2" xfId="5" applyFont="1" applyFill="1" applyBorder="1" applyAlignment="1">
      <alignment horizontal="center" vertical="center" wrapText="1"/>
    </xf>
    <xf numFmtId="0" fontId="7" fillId="0" borderId="2" xfId="3" applyFont="1" applyBorder="1" applyAlignment="1">
      <alignment horizontal="center" vertical="center"/>
    </xf>
    <xf numFmtId="41" fontId="7" fillId="0" borderId="9" xfId="4" applyNumberFormat="1" applyFont="1" applyBorder="1" applyAlignment="1">
      <alignment horizontal="center" vertical="center"/>
    </xf>
    <xf numFmtId="41" fontId="7" fillId="0" borderId="11" xfId="4" applyNumberFormat="1" applyFont="1" applyBorder="1" applyAlignment="1">
      <alignment horizontal="center" vertical="center"/>
    </xf>
    <xf numFmtId="0" fontId="7" fillId="3" borderId="12" xfId="3" applyFont="1" applyFill="1" applyBorder="1" applyAlignment="1">
      <alignment horizontal="center" vertical="center"/>
    </xf>
    <xf numFmtId="0" fontId="7" fillId="3" borderId="13" xfId="3" applyFont="1" applyFill="1" applyBorder="1" applyAlignment="1">
      <alignment horizontal="center" vertical="center"/>
    </xf>
    <xf numFmtId="41" fontId="7" fillId="0" borderId="14" xfId="4" applyFont="1" applyBorder="1" applyAlignment="1">
      <alignment horizontal="center" vertical="center"/>
    </xf>
    <xf numFmtId="177" fontId="7" fillId="0" borderId="15" xfId="4" applyNumberFormat="1" applyFont="1" applyBorder="1" applyAlignment="1">
      <alignment horizontal="center" vertical="center"/>
    </xf>
    <xf numFmtId="41" fontId="7" fillId="0" borderId="16" xfId="4" applyFont="1" applyBorder="1" applyAlignment="1">
      <alignment horizontal="center" vertical="center"/>
    </xf>
    <xf numFmtId="177" fontId="7" fillId="0" borderId="17" xfId="4" applyNumberFormat="1" applyFont="1" applyBorder="1" applyAlignment="1">
      <alignment horizontal="center" vertical="center"/>
    </xf>
    <xf numFmtId="41" fontId="7" fillId="0" borderId="18" xfId="4" applyFont="1" applyFill="1" applyBorder="1" applyAlignment="1">
      <alignment horizontal="center" vertical="center"/>
    </xf>
    <xf numFmtId="177" fontId="7" fillId="0" borderId="19" xfId="4" applyNumberFormat="1" applyFont="1" applyFill="1" applyBorder="1" applyAlignment="1">
      <alignment horizontal="center" vertical="center"/>
    </xf>
    <xf numFmtId="0" fontId="4" fillId="0" borderId="3" xfId="0" applyNumberFormat="1" applyFont="1" applyBorder="1" applyAlignment="1">
      <alignment horizontal="center" vertical="center"/>
    </xf>
    <xf numFmtId="41" fontId="4" fillId="0" borderId="3" xfId="1" applyFont="1" applyBorder="1" applyAlignment="1">
      <alignment horizontal="center" vertical="center"/>
    </xf>
    <xf numFmtId="14" fontId="4" fillId="0" borderId="3" xfId="1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14" fontId="7" fillId="0" borderId="1" xfId="1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6">
    <cellStyle name="쉼표 [0]" xfId="1" builtinId="6"/>
    <cellStyle name="쉼표 [0] 2" xfId="4"/>
    <cellStyle name="통화 [0]" xfId="2" builtinId="7"/>
    <cellStyle name="표준" xfId="0" builtinId="0"/>
    <cellStyle name="표준 2" xfId="3"/>
    <cellStyle name="표준_급여계산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'차트1(예제)'!$F$3</c:f>
              <c:strCache>
                <c:ptCount val="1"/>
                <c:pt idx="0">
                  <c:v>기본급</c:v>
                </c:pt>
              </c:strCache>
            </c:strRef>
          </c:tx>
          <c:invertIfNegative val="0"/>
          <c:cat>
            <c:strRef>
              <c:f>'차트1(예제)'!$B$4:$B$11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'차트1(예제)'!$F$4:$F$11</c:f>
              <c:numCache>
                <c:formatCode>General</c:formatCode>
                <c:ptCount val="8"/>
                <c:pt idx="0">
                  <c:v>750000</c:v>
                </c:pt>
                <c:pt idx="1">
                  <c:v>900000</c:v>
                </c:pt>
                <c:pt idx="2">
                  <c:v>900000</c:v>
                </c:pt>
                <c:pt idx="3">
                  <c:v>850000</c:v>
                </c:pt>
                <c:pt idx="4">
                  <c:v>850000</c:v>
                </c:pt>
                <c:pt idx="5">
                  <c:v>850000</c:v>
                </c:pt>
                <c:pt idx="6">
                  <c:v>850000</c:v>
                </c:pt>
                <c:pt idx="7">
                  <c:v>750000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695808"/>
        <c:axId val="99885440"/>
      </c:barChart>
      <c:lineChart>
        <c:grouping val="standard"/>
        <c:varyColors val="0"/>
        <c:ser>
          <c:idx val="1"/>
          <c:order val="1"/>
          <c:tx>
            <c:strRef>
              <c:f>'차트1(예제)'!$G$3</c:f>
              <c:strCache>
                <c:ptCount val="1"/>
                <c:pt idx="0">
                  <c:v>수당</c:v>
                </c:pt>
              </c:strCache>
            </c:strRef>
          </c:tx>
          <c:cat>
            <c:strRef>
              <c:f>'차트1(예제)'!$B$4:$B$11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'차트1(예제)'!$G$4:$G$11</c:f>
              <c:numCache>
                <c:formatCode>General</c:formatCode>
                <c:ptCount val="8"/>
                <c:pt idx="0">
                  <c:v>107000</c:v>
                </c:pt>
                <c:pt idx="1">
                  <c:v>132000</c:v>
                </c:pt>
                <c:pt idx="2">
                  <c:v>192000</c:v>
                </c:pt>
                <c:pt idx="3">
                  <c:v>118000</c:v>
                </c:pt>
                <c:pt idx="4">
                  <c:v>186000</c:v>
                </c:pt>
                <c:pt idx="5">
                  <c:v>164000</c:v>
                </c:pt>
                <c:pt idx="6">
                  <c:v>164000</c:v>
                </c:pt>
                <c:pt idx="7">
                  <c:v>128000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279808"/>
        <c:axId val="99888128"/>
      </c:lineChart>
      <c:catAx>
        <c:axId val="98695808"/>
        <c:scaling>
          <c:orientation val="minMax"/>
        </c:scaling>
        <c:delete val="0"/>
        <c:axPos val="b"/>
        <c:majorTickMark val="out"/>
        <c:minorTickMark val="none"/>
        <c:tickLblPos val="nextTo"/>
        <c:crossAx val="99885440"/>
        <c:crosses val="autoZero"/>
        <c:auto val="1"/>
        <c:lblAlgn val="ctr"/>
        <c:lblOffset val="100"/>
        <c:noMultiLvlLbl val="0"/>
      </c:catAx>
      <c:valAx>
        <c:axId val="9988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695808"/>
        <c:crosses val="autoZero"/>
        <c:crossBetween val="between"/>
      </c:valAx>
      <c:valAx>
        <c:axId val="998881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00279808"/>
        <c:crosses val="max"/>
        <c:crossBetween val="between"/>
      </c:valAx>
      <c:catAx>
        <c:axId val="100279808"/>
        <c:scaling>
          <c:orientation val="minMax"/>
        </c:scaling>
        <c:delete val="1"/>
        <c:axPos val="b"/>
        <c:majorTickMark val="out"/>
        <c:minorTickMark val="none"/>
        <c:tickLblPos val="none"/>
        <c:crossAx val="99888128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궁서체" pitchFamily="17" charset="-127"/>
                <a:ea typeface="궁서체" pitchFamily="17" charset="-127"/>
              </a:defRPr>
            </a:pPr>
            <a:r>
              <a:rPr lang="ko-KR" altLang="en-US" sz="1400">
                <a:latin typeface="궁서체" pitchFamily="17" charset="-127"/>
                <a:ea typeface="궁서체" pitchFamily="17" charset="-127"/>
              </a:rPr>
              <a:t>자재부</a:t>
            </a:r>
            <a:r>
              <a:rPr lang="en-US" altLang="ko-KR" sz="1400" baseline="0">
                <a:latin typeface="궁서체" pitchFamily="17" charset="-127"/>
                <a:ea typeface="궁서체" pitchFamily="17" charset="-127"/>
              </a:rPr>
              <a:t> </a:t>
            </a:r>
            <a:r>
              <a:rPr lang="ko-KR" altLang="en-US" sz="1400" baseline="0">
                <a:latin typeface="궁서체" pitchFamily="17" charset="-127"/>
                <a:ea typeface="궁서체" pitchFamily="17" charset="-127"/>
              </a:rPr>
              <a:t>기본급</a:t>
            </a:r>
            <a:r>
              <a:rPr lang="en-US" altLang="ko-KR" sz="1400" baseline="0">
                <a:latin typeface="궁서체" pitchFamily="17" charset="-127"/>
                <a:ea typeface="궁서체" pitchFamily="17" charset="-127"/>
              </a:rPr>
              <a:t>/</a:t>
            </a:r>
            <a:r>
              <a:rPr lang="ko-KR" altLang="en-US" sz="1400" baseline="0">
                <a:latin typeface="궁서체" pitchFamily="17" charset="-127"/>
                <a:ea typeface="궁서체" pitchFamily="17" charset="-127"/>
              </a:rPr>
              <a:t>수당현황</a:t>
            </a:r>
            <a:endParaRPr lang="ko-KR" altLang="en-US" sz="1400">
              <a:latin typeface="궁서체" pitchFamily="17" charset="-127"/>
              <a:ea typeface="궁서체" pitchFamily="17" charset="-127"/>
            </a:endParaRPr>
          </a:p>
        </c:rich>
      </c:tx>
      <c:layout/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'차트1(결과)'!$F$3</c:f>
              <c:strCache>
                <c:ptCount val="1"/>
                <c:pt idx="0">
                  <c:v>기본급</c:v>
                </c:pt>
              </c:strCache>
            </c:strRef>
          </c:tx>
          <c:invertIfNegative val="0"/>
          <c:cat>
            <c:strRef>
              <c:f>'차트1(결과)'!$B$4:$B$11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'차트1(결과)'!$F$4:$F$11</c:f>
              <c:numCache>
                <c:formatCode>General</c:formatCode>
                <c:ptCount val="8"/>
                <c:pt idx="0">
                  <c:v>750000</c:v>
                </c:pt>
                <c:pt idx="1">
                  <c:v>900000</c:v>
                </c:pt>
                <c:pt idx="2">
                  <c:v>900000</c:v>
                </c:pt>
                <c:pt idx="3">
                  <c:v>850000</c:v>
                </c:pt>
                <c:pt idx="4">
                  <c:v>850000</c:v>
                </c:pt>
                <c:pt idx="5">
                  <c:v>850000</c:v>
                </c:pt>
                <c:pt idx="6">
                  <c:v>850000</c:v>
                </c:pt>
                <c:pt idx="7">
                  <c:v>750000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446656"/>
        <c:axId val="87448192"/>
      </c:barChart>
      <c:lineChart>
        <c:grouping val="standard"/>
        <c:varyColors val="0"/>
        <c:ser>
          <c:idx val="1"/>
          <c:order val="1"/>
          <c:tx>
            <c:strRef>
              <c:f>'차트1(결과)'!$G$3</c:f>
              <c:strCache>
                <c:ptCount val="1"/>
                <c:pt idx="0">
                  <c:v>수당</c:v>
                </c:pt>
              </c:strCache>
            </c:strRef>
          </c:tx>
          <c:dLbls>
            <c:dLbl>
              <c:idx val="2"/>
              <c:layout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200">
                    <a:latin typeface="굴림체" panose="020B0609000101010101" pitchFamily="49" charset="-127"/>
                    <a:ea typeface="굴림체" panose="020B0609000101010101" pitchFamily="49" charset="-127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'차트1(결과)'!$B$4:$B$11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'차트1(결과)'!$G$4:$G$11</c:f>
              <c:numCache>
                <c:formatCode>General</c:formatCode>
                <c:ptCount val="8"/>
                <c:pt idx="0">
                  <c:v>107000</c:v>
                </c:pt>
                <c:pt idx="1">
                  <c:v>132000</c:v>
                </c:pt>
                <c:pt idx="2">
                  <c:v>192000</c:v>
                </c:pt>
                <c:pt idx="3">
                  <c:v>118000</c:v>
                </c:pt>
                <c:pt idx="4">
                  <c:v>186000</c:v>
                </c:pt>
                <c:pt idx="5">
                  <c:v>164000</c:v>
                </c:pt>
                <c:pt idx="6">
                  <c:v>164000</c:v>
                </c:pt>
                <c:pt idx="7">
                  <c:v>128000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459712"/>
        <c:axId val="87458176"/>
      </c:lineChart>
      <c:catAx>
        <c:axId val="87446656"/>
        <c:scaling>
          <c:orientation val="minMax"/>
        </c:scaling>
        <c:delete val="0"/>
        <c:axPos val="b"/>
        <c:majorTickMark val="out"/>
        <c:minorTickMark val="none"/>
        <c:tickLblPos val="nextTo"/>
        <c:crossAx val="87448192"/>
        <c:crosses val="autoZero"/>
        <c:auto val="1"/>
        <c:lblAlgn val="ctr"/>
        <c:lblOffset val="100"/>
        <c:noMultiLvlLbl val="0"/>
      </c:catAx>
      <c:valAx>
        <c:axId val="87448192"/>
        <c:scaling>
          <c:orientation val="minMax"/>
          <c:max val="1000000"/>
          <c:min val="60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446656"/>
        <c:crosses val="autoZero"/>
        <c:crossBetween val="between"/>
        <c:majorUnit val="100000"/>
      </c:valAx>
      <c:valAx>
        <c:axId val="874581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87459712"/>
        <c:crosses val="max"/>
        <c:crossBetween val="between"/>
      </c:valAx>
      <c:catAx>
        <c:axId val="87459712"/>
        <c:scaling>
          <c:orientation val="minMax"/>
        </c:scaling>
        <c:delete val="1"/>
        <c:axPos val="b"/>
        <c:majorTickMark val="out"/>
        <c:minorTickMark val="none"/>
        <c:tickLblPos val="none"/>
        <c:crossAx val="87458176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  <c:txPr>
        <a:bodyPr/>
        <a:lstStyle/>
        <a:p>
          <a:pPr>
            <a:defRPr sz="1200">
              <a:latin typeface="궁서체" pitchFamily="17" charset="-127"/>
              <a:ea typeface="궁서체" pitchFamily="17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'차트2(예제)'!$E$4</c:f>
              <c:strCache>
                <c:ptCount val="1"/>
                <c:pt idx="0">
                  <c:v>평균</c:v>
                </c:pt>
              </c:strCache>
            </c:strRef>
          </c:tx>
          <c:cat>
            <c:strRef>
              <c:f>'차트2(예제)'!$A$5:$A$8</c:f>
              <c:strCache>
                <c:ptCount val="4"/>
                <c:pt idx="0">
                  <c:v>관리부</c:v>
                </c:pt>
                <c:pt idx="1">
                  <c:v>기획부</c:v>
                </c:pt>
                <c:pt idx="2">
                  <c:v>총무부</c:v>
                </c:pt>
                <c:pt idx="3">
                  <c:v>영업부</c:v>
                </c:pt>
              </c:strCache>
            </c:strRef>
          </c:cat>
          <c:val>
            <c:numRef>
              <c:f>'차트2(예제)'!$E$5:$E$8</c:f>
              <c:numCache>
                <c:formatCode>_-* #,##0.0_-;\-* #,##0.0_-;_-* "-"_-;_-@_-</c:formatCode>
                <c:ptCount val="4"/>
                <c:pt idx="0">
                  <c:v>53.25</c:v>
                </c:pt>
                <c:pt idx="1">
                  <c:v>54.233333333333327</c:v>
                </c:pt>
                <c:pt idx="2">
                  <c:v>57.714285714285715</c:v>
                </c:pt>
                <c:pt idx="3">
                  <c:v>54.466666666666669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'차트2(결과)'!$A$2</c:f>
          <c:strCache>
            <c:ptCount val="1"/>
            <c:pt idx="0">
              <c:v>부서별 성적 현황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ko-KR"/>
        </a:p>
      </c:txPr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'차트2(결과)'!$E$4</c:f>
              <c:strCache>
                <c:ptCount val="1"/>
                <c:pt idx="0">
                  <c:v>평균</c:v>
                </c:pt>
              </c:strCache>
            </c:strRef>
          </c:tx>
          <c:dPt>
            <c:idx val="1"/>
            <c:bubble3D val="0"/>
            <c:explosion val="14"/>
          </c:dPt>
          <c:dLbls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</c:dLbls>
          <c:cat>
            <c:strRef>
              <c:f>'차트2(결과)'!$A$5:$A$8</c:f>
              <c:strCache>
                <c:ptCount val="4"/>
                <c:pt idx="0">
                  <c:v>관리부</c:v>
                </c:pt>
                <c:pt idx="1">
                  <c:v>기획부</c:v>
                </c:pt>
                <c:pt idx="2">
                  <c:v>총무부</c:v>
                </c:pt>
                <c:pt idx="3">
                  <c:v>영업부</c:v>
                </c:pt>
              </c:strCache>
            </c:strRef>
          </c:cat>
          <c:val>
            <c:numRef>
              <c:f>'차트2(결과)'!$E$5:$E$8</c:f>
              <c:numCache>
                <c:formatCode>_-* #,##0.0_-;\-* #,##0.0_-;_-* "-"_-;_-@_-</c:formatCode>
                <c:ptCount val="4"/>
                <c:pt idx="0">
                  <c:v>53.25</c:v>
                </c:pt>
                <c:pt idx="1">
                  <c:v>54.233333333333327</c:v>
                </c:pt>
                <c:pt idx="2">
                  <c:v>57.714285714285715</c:v>
                </c:pt>
                <c:pt idx="3">
                  <c:v>54.466666666666669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영업현황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'차트3(결과)'!$E$2</c:f>
              <c:strCache>
                <c:ptCount val="1"/>
                <c:pt idx="0">
                  <c:v>목표액</c:v>
                </c:pt>
              </c:strCache>
            </c:strRef>
          </c:tx>
          <c:invertIfNegative val="0"/>
          <c:cat>
            <c:strRef>
              <c:f>('차트3(결과)'!$B$5:$B$6,'차트3(결과)'!$B$8,'차트3(결과)'!$B$11,'차트3(결과)'!$B$13)</c:f>
              <c:strCache>
                <c:ptCount val="5"/>
                <c:pt idx="0">
                  <c:v>노지심</c:v>
                </c:pt>
                <c:pt idx="1">
                  <c:v>송치윤</c:v>
                </c:pt>
                <c:pt idx="2">
                  <c:v>이봉주</c:v>
                </c:pt>
                <c:pt idx="3">
                  <c:v>이인상</c:v>
                </c:pt>
                <c:pt idx="4">
                  <c:v>장유비</c:v>
                </c:pt>
              </c:strCache>
            </c:strRef>
          </c:cat>
          <c:val>
            <c:numRef>
              <c:f>('차트3(결과)'!$E$5:$E$6,'차트3(결과)'!$E$8,'차트3(결과)'!$E$11,'차트3(결과)'!$E$13)</c:f>
              <c:numCache>
                <c:formatCode>_(* #,##0_);_(* \(#,##0\);_(* "-"_);_(@_)</c:formatCode>
                <c:ptCount val="5"/>
                <c:pt idx="0">
                  <c:v>62500</c:v>
                </c:pt>
                <c:pt idx="1">
                  <c:v>62533</c:v>
                </c:pt>
                <c:pt idx="2">
                  <c:v>64250</c:v>
                </c:pt>
                <c:pt idx="3">
                  <c:v>54000</c:v>
                </c:pt>
                <c:pt idx="4">
                  <c:v>58000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778240"/>
        <c:axId val="88779776"/>
      </c:barChart>
      <c:lineChart>
        <c:grouping val="standard"/>
        <c:varyColors val="0"/>
        <c:ser>
          <c:idx val="1"/>
          <c:order val="1"/>
          <c:tx>
            <c:strRef>
              <c:f>'차트3(결과)'!$F$2</c:f>
              <c:strCache>
                <c:ptCount val="1"/>
                <c:pt idx="0">
                  <c:v>달성액</c:v>
                </c:pt>
              </c:strCache>
            </c:strRef>
          </c:tx>
          <c:cat>
            <c:strRef>
              <c:f>('차트3(결과)'!$B$5:$B$6,'차트3(결과)'!$B$8,'차트3(결과)'!$B$11,'차트3(결과)'!$B$13)</c:f>
              <c:strCache>
                <c:ptCount val="5"/>
                <c:pt idx="0">
                  <c:v>노지심</c:v>
                </c:pt>
                <c:pt idx="1">
                  <c:v>송치윤</c:v>
                </c:pt>
                <c:pt idx="2">
                  <c:v>이봉주</c:v>
                </c:pt>
                <c:pt idx="3">
                  <c:v>이인상</c:v>
                </c:pt>
                <c:pt idx="4">
                  <c:v>장유비</c:v>
                </c:pt>
              </c:strCache>
            </c:strRef>
          </c:cat>
          <c:val>
            <c:numRef>
              <c:f>('차트3(결과)'!$F$5:$F$6,'차트3(결과)'!$F$8,'차트3(결과)'!$F$11,'차트3(결과)'!$F$13)</c:f>
              <c:numCache>
                <c:formatCode>_(* #,##0_);_(* \(#,##0\);_(* "-"_);_(@_)</c:formatCode>
                <c:ptCount val="5"/>
                <c:pt idx="0">
                  <c:v>65000</c:v>
                </c:pt>
                <c:pt idx="1">
                  <c:v>61890</c:v>
                </c:pt>
                <c:pt idx="2">
                  <c:v>56000</c:v>
                </c:pt>
                <c:pt idx="3">
                  <c:v>50000</c:v>
                </c:pt>
                <c:pt idx="4">
                  <c:v>60000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91296"/>
        <c:axId val="88789760"/>
      </c:lineChart>
      <c:catAx>
        <c:axId val="88778240"/>
        <c:scaling>
          <c:orientation val="minMax"/>
        </c:scaling>
        <c:delete val="0"/>
        <c:axPos val="b"/>
        <c:majorTickMark val="out"/>
        <c:minorTickMark val="none"/>
        <c:tickLblPos val="nextTo"/>
        <c:crossAx val="88779776"/>
        <c:crosses val="autoZero"/>
        <c:auto val="1"/>
        <c:lblAlgn val="ctr"/>
        <c:lblOffset val="100"/>
        <c:noMultiLvlLbl val="0"/>
      </c:catAx>
      <c:valAx>
        <c:axId val="88779776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88778240"/>
        <c:crosses val="autoZero"/>
        <c:crossBetween val="between"/>
      </c:valAx>
      <c:valAx>
        <c:axId val="88789760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88791296"/>
        <c:crosses val="max"/>
        <c:crossBetween val="between"/>
      </c:valAx>
      <c:catAx>
        <c:axId val="88791296"/>
        <c:scaling>
          <c:orientation val="minMax"/>
        </c:scaling>
        <c:delete val="1"/>
        <c:axPos val="b"/>
        <c:majorTickMark val="out"/>
        <c:minorTickMark val="none"/>
        <c:tickLblPos val="none"/>
        <c:crossAx val="88789760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638175</xdr:colOff>
      <xdr:row>3</xdr:row>
      <xdr:rowOff>180975</xdr:rowOff>
    </xdr:from>
    <xdr:to>
      <xdr:col>5</xdr:col>
      <xdr:colOff>104775</xdr:colOff>
      <xdr:row>5</xdr:row>
      <xdr:rowOff>47625</xdr:rowOff>
    </xdr:to>
    <xdr:sp macro="" textlink="">
      <xdr:nvSpPr>
        <xdr:cNvPr id="3" name="타원 2"/>
        <xdr:cNvSpPr/>
      </xdr:nvSpPr>
      <xdr:spPr>
        <a:xfrm>
          <a:off x="2695575" y="933450"/>
          <a:ext cx="838200" cy="28575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</xdr:col>
      <xdr:colOff>667823</xdr:colOff>
      <xdr:row>5</xdr:row>
      <xdr:rowOff>5778</xdr:rowOff>
    </xdr:from>
    <xdr:to>
      <xdr:col>6</xdr:col>
      <xdr:colOff>38100</xdr:colOff>
      <xdr:row>14</xdr:row>
      <xdr:rowOff>142875</xdr:rowOff>
    </xdr:to>
    <xdr:cxnSp macro="">
      <xdr:nvCxnSpPr>
        <xdr:cNvPr id="5" name="직선 화살표 연결선 4"/>
        <xdr:cNvCxnSpPr>
          <a:stCxn id="3" idx="5"/>
        </xdr:cNvCxnSpPr>
      </xdr:nvCxnSpPr>
      <xdr:spPr>
        <a:xfrm>
          <a:off x="3411023" y="1177353"/>
          <a:ext cx="741877" cy="2023047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7</xdr:col>
      <xdr:colOff>0</xdr:colOff>
      <xdr:row>30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0</xdr:rowOff>
        </xdr:from>
        <xdr:to>
          <xdr:col>6</xdr:col>
          <xdr:colOff>504825</xdr:colOff>
          <xdr:row>3</xdr:row>
          <xdr:rowOff>142875</xdr:rowOff>
        </xdr:to>
        <xdr:sp macro="" textlink="">
          <xdr:nvSpPr>
            <xdr:cNvPr id="4097" name="cmd사원입력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9525</xdr:rowOff>
        </xdr:from>
        <xdr:to>
          <xdr:col>8</xdr:col>
          <xdr:colOff>676275</xdr:colOff>
          <xdr:row>2</xdr:row>
          <xdr:rowOff>161925</xdr:rowOff>
        </xdr:to>
        <xdr:sp macro="" textlink="">
          <xdr:nvSpPr>
            <xdr:cNvPr id="5122" name="cmd수강등록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6145" name="cmd조회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image" Target="../media/image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4"/>
  <sheetViews>
    <sheetView tabSelected="1" workbookViewId="0">
      <selection sqref="A1:I1"/>
    </sheetView>
  </sheetViews>
  <sheetFormatPr defaultRowHeight="16.5"/>
  <cols>
    <col min="5" max="5" width="15.5" bestFit="1" customWidth="1"/>
  </cols>
  <sheetData>
    <row r="1" spans="1:9" ht="20.25">
      <c r="A1" s="55" t="s">
        <v>27</v>
      </c>
      <c r="B1" s="55"/>
      <c r="C1" s="55"/>
      <c r="D1" s="55"/>
      <c r="E1" s="55"/>
      <c r="F1" s="55"/>
      <c r="G1" s="55"/>
      <c r="H1" s="55"/>
      <c r="I1" s="55"/>
    </row>
    <row r="2" spans="1:9" ht="20.25">
      <c r="A2" s="1"/>
      <c r="B2" s="1"/>
      <c r="C2" s="1"/>
      <c r="D2" s="1"/>
      <c r="E2" s="1"/>
      <c r="F2" s="2"/>
      <c r="G2" s="2"/>
      <c r="H2" s="2"/>
      <c r="I2" s="2"/>
    </row>
    <row r="3" spans="1:9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</row>
    <row r="4" spans="1:9">
      <c r="A4" s="4" t="s">
        <v>9</v>
      </c>
      <c r="B4" s="4" t="s">
        <v>10</v>
      </c>
      <c r="C4" s="4" t="s">
        <v>11</v>
      </c>
      <c r="D4" s="4" t="s">
        <v>12</v>
      </c>
      <c r="E4" s="5">
        <v>42062</v>
      </c>
      <c r="F4" s="4">
        <v>750000</v>
      </c>
      <c r="G4" s="4">
        <v>107000</v>
      </c>
      <c r="H4" s="4">
        <v>85700</v>
      </c>
      <c r="I4" s="4">
        <v>771300</v>
      </c>
    </row>
    <row r="5" spans="1:9">
      <c r="A5" s="4" t="s">
        <v>9</v>
      </c>
      <c r="B5" s="4" t="s">
        <v>13</v>
      </c>
      <c r="C5" s="4" t="s">
        <v>14</v>
      </c>
      <c r="D5" s="4" t="s">
        <v>15</v>
      </c>
      <c r="E5" s="5">
        <v>39358</v>
      </c>
      <c r="F5" s="4">
        <v>900000</v>
      </c>
      <c r="G5" s="4">
        <v>132000</v>
      </c>
      <c r="H5" s="4">
        <v>103200</v>
      </c>
      <c r="I5" s="4">
        <v>928800</v>
      </c>
    </row>
    <row r="6" spans="1:9">
      <c r="A6" s="4" t="s">
        <v>9</v>
      </c>
      <c r="B6" s="4" t="s">
        <v>16</v>
      </c>
      <c r="C6" s="4" t="s">
        <v>14</v>
      </c>
      <c r="D6" s="4" t="s">
        <v>15</v>
      </c>
      <c r="E6" s="5">
        <v>39454</v>
      </c>
      <c r="F6" s="4">
        <v>900000</v>
      </c>
      <c r="G6" s="4">
        <v>192000</v>
      </c>
      <c r="H6" s="4">
        <v>109200</v>
      </c>
      <c r="I6" s="4">
        <v>982800</v>
      </c>
    </row>
    <row r="7" spans="1:9">
      <c r="A7" s="4" t="s">
        <v>9</v>
      </c>
      <c r="B7" s="4" t="s">
        <v>17</v>
      </c>
      <c r="C7" s="4" t="s">
        <v>11</v>
      </c>
      <c r="D7" s="4" t="s">
        <v>18</v>
      </c>
      <c r="E7" s="5">
        <v>40362</v>
      </c>
      <c r="F7" s="4">
        <v>850000</v>
      </c>
      <c r="G7" s="4">
        <v>118000</v>
      </c>
      <c r="H7" s="4">
        <v>96800</v>
      </c>
      <c r="I7" s="4">
        <v>871200</v>
      </c>
    </row>
    <row r="8" spans="1:9">
      <c r="A8" s="4" t="s">
        <v>9</v>
      </c>
      <c r="B8" s="4" t="s">
        <v>19</v>
      </c>
      <c r="C8" s="4" t="s">
        <v>14</v>
      </c>
      <c r="D8" s="4" t="s">
        <v>18</v>
      </c>
      <c r="E8" s="5">
        <v>40361</v>
      </c>
      <c r="F8" s="4">
        <v>850000</v>
      </c>
      <c r="G8" s="4">
        <v>186000</v>
      </c>
      <c r="H8" s="4">
        <v>103600</v>
      </c>
      <c r="I8" s="4">
        <v>932400</v>
      </c>
    </row>
    <row r="9" spans="1:9">
      <c r="A9" s="4" t="s">
        <v>9</v>
      </c>
      <c r="B9" s="4" t="s">
        <v>20</v>
      </c>
      <c r="C9" s="4" t="s">
        <v>11</v>
      </c>
      <c r="D9" s="4" t="s">
        <v>18</v>
      </c>
      <c r="E9" s="5">
        <v>39502</v>
      </c>
      <c r="F9" s="4">
        <v>850000</v>
      </c>
      <c r="G9" s="4">
        <v>164000</v>
      </c>
      <c r="H9" s="4">
        <v>101400</v>
      </c>
      <c r="I9" s="4">
        <v>912600</v>
      </c>
    </row>
    <row r="10" spans="1:9">
      <c r="A10" s="4" t="s">
        <v>9</v>
      </c>
      <c r="B10" s="4" t="s">
        <v>21</v>
      </c>
      <c r="C10" s="4" t="s">
        <v>14</v>
      </c>
      <c r="D10" s="4" t="s">
        <v>18</v>
      </c>
      <c r="E10" s="5">
        <v>40833</v>
      </c>
      <c r="F10" s="4">
        <v>850000</v>
      </c>
      <c r="G10" s="4">
        <v>164000</v>
      </c>
      <c r="H10" s="4">
        <v>101400</v>
      </c>
      <c r="I10" s="4">
        <v>912600</v>
      </c>
    </row>
    <row r="11" spans="1:9">
      <c r="A11" s="4" t="s">
        <v>9</v>
      </c>
      <c r="B11" s="4" t="s">
        <v>22</v>
      </c>
      <c r="C11" s="4" t="s">
        <v>11</v>
      </c>
      <c r="D11" s="4" t="s">
        <v>12</v>
      </c>
      <c r="E11" s="5">
        <v>42018</v>
      </c>
      <c r="F11" s="4">
        <v>750000</v>
      </c>
      <c r="G11" s="4">
        <v>128000</v>
      </c>
      <c r="H11" s="4">
        <v>87800</v>
      </c>
      <c r="I11" s="4">
        <v>790200</v>
      </c>
    </row>
    <row r="12" spans="1:9">
      <c r="A12" s="4" t="s">
        <v>23</v>
      </c>
      <c r="B12" s="4" t="s">
        <v>24</v>
      </c>
      <c r="C12" s="4" t="s">
        <v>14</v>
      </c>
      <c r="D12" s="4" t="s">
        <v>18</v>
      </c>
      <c r="E12" s="5">
        <v>40169</v>
      </c>
      <c r="F12" s="4">
        <v>850000</v>
      </c>
      <c r="G12" s="4">
        <v>153000</v>
      </c>
      <c r="H12" s="4">
        <v>100300</v>
      </c>
      <c r="I12" s="4">
        <v>902700</v>
      </c>
    </row>
    <row r="13" spans="1:9">
      <c r="A13" s="4" t="s">
        <v>23</v>
      </c>
      <c r="B13" s="4" t="s">
        <v>25</v>
      </c>
      <c r="C13" s="4" t="s">
        <v>11</v>
      </c>
      <c r="D13" s="4" t="s">
        <v>12</v>
      </c>
      <c r="E13" s="5">
        <v>40893</v>
      </c>
      <c r="F13" s="4">
        <v>750000</v>
      </c>
      <c r="G13" s="4">
        <v>124000</v>
      </c>
      <c r="H13" s="4">
        <v>87400</v>
      </c>
      <c r="I13" s="4">
        <v>786600</v>
      </c>
    </row>
    <row r="14" spans="1:9">
      <c r="A14" s="4" t="s">
        <v>23</v>
      </c>
      <c r="B14" s="4" t="s">
        <v>26</v>
      </c>
      <c r="C14" s="4" t="s">
        <v>14</v>
      </c>
      <c r="D14" s="4" t="s">
        <v>15</v>
      </c>
      <c r="E14" s="5">
        <v>40070</v>
      </c>
      <c r="F14" s="4">
        <v>900000</v>
      </c>
      <c r="G14" s="4">
        <v>242000</v>
      </c>
      <c r="H14" s="4">
        <v>114200</v>
      </c>
      <c r="I14" s="4">
        <v>1027800</v>
      </c>
    </row>
  </sheetData>
  <mergeCells count="1">
    <mergeCell ref="A1:I1"/>
  </mergeCells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4"/>
  <sheetViews>
    <sheetView workbookViewId="0">
      <selection activeCell="M23" sqref="M23"/>
    </sheetView>
  </sheetViews>
  <sheetFormatPr defaultRowHeight="16.5"/>
  <cols>
    <col min="5" max="5" width="15.5" bestFit="1" customWidth="1"/>
  </cols>
  <sheetData>
    <row r="1" spans="1:9" ht="20.25">
      <c r="A1" s="55" t="s">
        <v>27</v>
      </c>
      <c r="B1" s="55"/>
      <c r="C1" s="55"/>
      <c r="D1" s="55"/>
      <c r="E1" s="55"/>
      <c r="F1" s="55"/>
      <c r="G1" s="55"/>
      <c r="H1" s="55"/>
      <c r="I1" s="55"/>
    </row>
    <row r="2" spans="1:9" ht="20.25">
      <c r="A2" s="1"/>
      <c r="B2" s="1"/>
      <c r="C2" s="1"/>
      <c r="D2" s="1"/>
      <c r="E2" s="1"/>
      <c r="F2" s="2"/>
      <c r="G2" s="2"/>
      <c r="H2" s="2"/>
      <c r="I2" s="2"/>
    </row>
    <row r="3" spans="1:9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</row>
    <row r="4" spans="1:9">
      <c r="A4" s="4" t="s">
        <v>9</v>
      </c>
      <c r="B4" s="4" t="s">
        <v>10</v>
      </c>
      <c r="C4" s="4" t="s">
        <v>11</v>
      </c>
      <c r="D4" s="4" t="s">
        <v>12</v>
      </c>
      <c r="E4" s="5">
        <v>42062</v>
      </c>
      <c r="F4" s="4">
        <v>750000</v>
      </c>
      <c r="G4" s="4">
        <v>107000</v>
      </c>
      <c r="H4" s="4">
        <v>85700</v>
      </c>
      <c r="I4" s="4">
        <v>771300</v>
      </c>
    </row>
    <row r="5" spans="1:9">
      <c r="A5" s="4" t="s">
        <v>9</v>
      </c>
      <c r="B5" s="4" t="s">
        <v>13</v>
      </c>
      <c r="C5" s="4" t="s">
        <v>14</v>
      </c>
      <c r="D5" s="4" t="s">
        <v>15</v>
      </c>
      <c r="E5" s="5">
        <v>39358</v>
      </c>
      <c r="F5" s="4">
        <v>900000</v>
      </c>
      <c r="G5" s="4">
        <v>132000</v>
      </c>
      <c r="H5" s="4">
        <v>103200</v>
      </c>
      <c r="I5" s="4">
        <v>928800</v>
      </c>
    </row>
    <row r="6" spans="1:9">
      <c r="A6" s="4" t="s">
        <v>9</v>
      </c>
      <c r="B6" s="4" t="s">
        <v>16</v>
      </c>
      <c r="C6" s="4" t="s">
        <v>14</v>
      </c>
      <c r="D6" s="4" t="s">
        <v>15</v>
      </c>
      <c r="E6" s="5">
        <v>39454</v>
      </c>
      <c r="F6" s="4">
        <v>900000</v>
      </c>
      <c r="G6" s="4">
        <v>192000</v>
      </c>
      <c r="H6" s="4">
        <v>109200</v>
      </c>
      <c r="I6" s="4">
        <v>982800</v>
      </c>
    </row>
    <row r="7" spans="1:9">
      <c r="A7" s="4" t="s">
        <v>9</v>
      </c>
      <c r="B7" s="4" t="s">
        <v>17</v>
      </c>
      <c r="C7" s="4" t="s">
        <v>11</v>
      </c>
      <c r="D7" s="4" t="s">
        <v>18</v>
      </c>
      <c r="E7" s="5">
        <v>40362</v>
      </c>
      <c r="F7" s="4">
        <v>850000</v>
      </c>
      <c r="G7" s="4">
        <v>118000</v>
      </c>
      <c r="H7" s="4">
        <v>96800</v>
      </c>
      <c r="I7" s="4">
        <v>871200</v>
      </c>
    </row>
    <row r="8" spans="1:9">
      <c r="A8" s="4" t="s">
        <v>9</v>
      </c>
      <c r="B8" s="4" t="s">
        <v>19</v>
      </c>
      <c r="C8" s="4" t="s">
        <v>14</v>
      </c>
      <c r="D8" s="4" t="s">
        <v>18</v>
      </c>
      <c r="E8" s="5">
        <v>40361</v>
      </c>
      <c r="F8" s="4">
        <v>850000</v>
      </c>
      <c r="G8" s="4">
        <v>186000</v>
      </c>
      <c r="H8" s="4">
        <v>103600</v>
      </c>
      <c r="I8" s="4">
        <v>932400</v>
      </c>
    </row>
    <row r="9" spans="1:9">
      <c r="A9" s="4" t="s">
        <v>9</v>
      </c>
      <c r="B9" s="4" t="s">
        <v>20</v>
      </c>
      <c r="C9" s="4" t="s">
        <v>11</v>
      </c>
      <c r="D9" s="4" t="s">
        <v>18</v>
      </c>
      <c r="E9" s="5">
        <v>39502</v>
      </c>
      <c r="F9" s="4">
        <v>850000</v>
      </c>
      <c r="G9" s="4">
        <v>164000</v>
      </c>
      <c r="H9" s="4">
        <v>101400</v>
      </c>
      <c r="I9" s="4">
        <v>912600</v>
      </c>
    </row>
    <row r="10" spans="1:9">
      <c r="A10" s="4" t="s">
        <v>9</v>
      </c>
      <c r="B10" s="4" t="s">
        <v>21</v>
      </c>
      <c r="C10" s="4" t="s">
        <v>14</v>
      </c>
      <c r="D10" s="4" t="s">
        <v>18</v>
      </c>
      <c r="E10" s="5">
        <v>40833</v>
      </c>
      <c r="F10" s="4">
        <v>850000</v>
      </c>
      <c r="G10" s="4">
        <v>164000</v>
      </c>
      <c r="H10" s="4">
        <v>101400</v>
      </c>
      <c r="I10" s="4">
        <v>912600</v>
      </c>
    </row>
    <row r="11" spans="1:9">
      <c r="A11" s="4" t="s">
        <v>9</v>
      </c>
      <c r="B11" s="4" t="s">
        <v>22</v>
      </c>
      <c r="C11" s="4" t="s">
        <v>11</v>
      </c>
      <c r="D11" s="4" t="s">
        <v>12</v>
      </c>
      <c r="E11" s="5">
        <v>42018</v>
      </c>
      <c r="F11" s="4">
        <v>750000</v>
      </c>
      <c r="G11" s="4">
        <v>128000</v>
      </c>
      <c r="H11" s="4">
        <v>87800</v>
      </c>
      <c r="I11" s="4">
        <v>790200</v>
      </c>
    </row>
    <row r="12" spans="1:9">
      <c r="A12" s="4" t="s">
        <v>23</v>
      </c>
      <c r="B12" s="4" t="s">
        <v>24</v>
      </c>
      <c r="C12" s="4" t="s">
        <v>14</v>
      </c>
      <c r="D12" s="4" t="s">
        <v>18</v>
      </c>
      <c r="E12" s="5">
        <v>40169</v>
      </c>
      <c r="F12" s="4">
        <v>850000</v>
      </c>
      <c r="G12" s="4">
        <v>153000</v>
      </c>
      <c r="H12" s="4">
        <v>100300</v>
      </c>
      <c r="I12" s="4">
        <v>902700</v>
      </c>
    </row>
    <row r="13" spans="1:9">
      <c r="A13" s="4" t="s">
        <v>23</v>
      </c>
      <c r="B13" s="4" t="s">
        <v>25</v>
      </c>
      <c r="C13" s="4" t="s">
        <v>11</v>
      </c>
      <c r="D13" s="4" t="s">
        <v>12</v>
      </c>
      <c r="E13" s="5">
        <v>40893</v>
      </c>
      <c r="F13" s="4">
        <v>750000</v>
      </c>
      <c r="G13" s="4">
        <v>124000</v>
      </c>
      <c r="H13" s="4">
        <v>87400</v>
      </c>
      <c r="I13" s="4">
        <v>786600</v>
      </c>
    </row>
    <row r="14" spans="1:9">
      <c r="A14" s="4" t="s">
        <v>23</v>
      </c>
      <c r="B14" s="4" t="s">
        <v>26</v>
      </c>
      <c r="C14" s="4" t="s">
        <v>14</v>
      </c>
      <c r="D14" s="4" t="s">
        <v>15</v>
      </c>
      <c r="E14" s="5">
        <v>40070</v>
      </c>
      <c r="F14" s="4">
        <v>900000</v>
      </c>
      <c r="G14" s="4">
        <v>242000</v>
      </c>
      <c r="H14" s="4">
        <v>114200</v>
      </c>
      <c r="I14" s="4">
        <v>1027800</v>
      </c>
    </row>
  </sheetData>
  <mergeCells count="1">
    <mergeCell ref="A1:I1"/>
  </mergeCells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8"/>
  <sheetViews>
    <sheetView workbookViewId="0"/>
  </sheetViews>
  <sheetFormatPr defaultRowHeight="16.5"/>
  <sheetData>
    <row r="2" spans="1:5" ht="26.25">
      <c r="A2" s="6" t="s">
        <v>35</v>
      </c>
      <c r="B2" s="6"/>
      <c r="C2" s="6"/>
      <c r="D2" s="6"/>
      <c r="E2" s="6"/>
    </row>
    <row r="3" spans="1:5">
      <c r="A3" s="2"/>
      <c r="B3" s="2"/>
      <c r="C3" s="2"/>
      <c r="D3" s="2"/>
      <c r="E3" s="2"/>
    </row>
    <row r="4" spans="1:5">
      <c r="A4" s="3" t="s">
        <v>0</v>
      </c>
      <c r="B4" s="3" t="s">
        <v>28</v>
      </c>
      <c r="C4" s="3" t="s">
        <v>29</v>
      </c>
      <c r="D4" s="3" t="s">
        <v>30</v>
      </c>
      <c r="E4" s="3" t="s">
        <v>36</v>
      </c>
    </row>
    <row r="5" spans="1:5">
      <c r="A5" s="7" t="s">
        <v>31</v>
      </c>
      <c r="B5" s="8">
        <v>47.625</v>
      </c>
      <c r="C5" s="8">
        <v>48.125</v>
      </c>
      <c r="D5" s="8">
        <v>64</v>
      </c>
      <c r="E5" s="8">
        <f>AVERAGE(B5:D5)</f>
        <v>53.25</v>
      </c>
    </row>
    <row r="6" spans="1:5">
      <c r="A6" s="7" t="s">
        <v>32</v>
      </c>
      <c r="B6" s="8">
        <v>44.9</v>
      </c>
      <c r="C6" s="8">
        <v>54.9</v>
      </c>
      <c r="D6" s="8">
        <v>62.9</v>
      </c>
      <c r="E6" s="8">
        <f>AVERAGE(B6:D6)</f>
        <v>54.233333333333327</v>
      </c>
    </row>
    <row r="7" spans="1:5">
      <c r="A7" s="7" t="s">
        <v>33</v>
      </c>
      <c r="B7" s="8">
        <v>56.285714285714285</v>
      </c>
      <c r="C7" s="8">
        <v>70.571428571428569</v>
      </c>
      <c r="D7" s="8">
        <v>46.285714285714285</v>
      </c>
      <c r="E7" s="8">
        <f>AVERAGE(B7:D7)</f>
        <v>57.714285714285715</v>
      </c>
    </row>
    <row r="8" spans="1:5">
      <c r="A8" s="7" t="s">
        <v>34</v>
      </c>
      <c r="B8" s="8">
        <v>62</v>
      </c>
      <c r="C8" s="8">
        <v>59.4</v>
      </c>
      <c r="D8" s="8">
        <v>42</v>
      </c>
      <c r="E8" s="8">
        <f>AVERAGE(B8:D8)</f>
        <v>54.466666666666669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8"/>
  <sheetViews>
    <sheetView workbookViewId="0">
      <selection activeCell="J7" sqref="J7"/>
    </sheetView>
  </sheetViews>
  <sheetFormatPr defaultRowHeight="16.5"/>
  <sheetData>
    <row r="2" spans="1:5" ht="26.25">
      <c r="A2" s="6" t="s">
        <v>35</v>
      </c>
      <c r="B2" s="6"/>
      <c r="C2" s="6"/>
      <c r="D2" s="6"/>
      <c r="E2" s="6"/>
    </row>
    <row r="3" spans="1:5">
      <c r="A3" s="2"/>
      <c r="B3" s="2"/>
      <c r="C3" s="2"/>
      <c r="D3" s="2"/>
      <c r="E3" s="2"/>
    </row>
    <row r="4" spans="1:5">
      <c r="A4" s="3" t="s">
        <v>0</v>
      </c>
      <c r="B4" s="3" t="s">
        <v>28</v>
      </c>
      <c r="C4" s="3" t="s">
        <v>29</v>
      </c>
      <c r="D4" s="3" t="s">
        <v>30</v>
      </c>
      <c r="E4" s="3" t="s">
        <v>36</v>
      </c>
    </row>
    <row r="5" spans="1:5">
      <c r="A5" s="7" t="s">
        <v>31</v>
      </c>
      <c r="B5" s="8">
        <v>47.625</v>
      </c>
      <c r="C5" s="8">
        <v>48.125</v>
      </c>
      <c r="D5" s="8">
        <v>64</v>
      </c>
      <c r="E5" s="8">
        <f>AVERAGE(B5:D5)</f>
        <v>53.25</v>
      </c>
    </row>
    <row r="6" spans="1:5">
      <c r="A6" s="7" t="s">
        <v>32</v>
      </c>
      <c r="B6" s="8">
        <v>44.9</v>
      </c>
      <c r="C6" s="8">
        <v>54.9</v>
      </c>
      <c r="D6" s="8">
        <v>62.9</v>
      </c>
      <c r="E6" s="8">
        <f>AVERAGE(B6:D6)</f>
        <v>54.233333333333327</v>
      </c>
    </row>
    <row r="7" spans="1:5">
      <c r="A7" s="7" t="s">
        <v>33</v>
      </c>
      <c r="B7" s="8">
        <v>56.285714285714285</v>
      </c>
      <c r="C7" s="8">
        <v>70.571428571428569</v>
      </c>
      <c r="D7" s="8">
        <v>46.285714285714285</v>
      </c>
      <c r="E7" s="8">
        <f>AVERAGE(B7:D7)</f>
        <v>57.714285714285715</v>
      </c>
    </row>
    <row r="8" spans="1:5">
      <c r="A8" s="7" t="s">
        <v>34</v>
      </c>
      <c r="B8" s="8">
        <v>62</v>
      </c>
      <c r="C8" s="8">
        <v>59.4</v>
      </c>
      <c r="D8" s="8">
        <v>42</v>
      </c>
      <c r="E8" s="8">
        <f>AVERAGE(B8:D8)</f>
        <v>54.466666666666669</v>
      </c>
    </row>
  </sheetData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15"/>
  <sheetViews>
    <sheetView workbookViewId="0"/>
  </sheetViews>
  <sheetFormatPr defaultRowHeight="16.5"/>
  <sheetData>
    <row r="1" spans="2:6">
      <c r="B1" s="12"/>
      <c r="C1" s="12"/>
      <c r="D1" s="9" t="s">
        <v>56</v>
      </c>
      <c r="E1" s="12"/>
      <c r="F1" s="12"/>
    </row>
    <row r="2" spans="2:6">
      <c r="B2" s="10" t="s">
        <v>57</v>
      </c>
      <c r="C2" s="10" t="s">
        <v>58</v>
      </c>
      <c r="D2" s="11" t="s">
        <v>59</v>
      </c>
      <c r="E2" s="11" t="s">
        <v>60</v>
      </c>
      <c r="F2" s="11" t="s">
        <v>61</v>
      </c>
    </row>
    <row r="3" spans="2:6">
      <c r="B3" s="10" t="s">
        <v>62</v>
      </c>
      <c r="C3" s="10" t="s">
        <v>12</v>
      </c>
      <c r="D3" s="10" t="s">
        <v>37</v>
      </c>
      <c r="E3" s="13">
        <v>35200</v>
      </c>
      <c r="F3" s="14">
        <v>35000</v>
      </c>
    </row>
    <row r="4" spans="2:6">
      <c r="B4" s="10" t="s">
        <v>63</v>
      </c>
      <c r="C4" s="10" t="s">
        <v>12</v>
      </c>
      <c r="D4" s="10" t="s">
        <v>37</v>
      </c>
      <c r="E4" s="13">
        <v>12500</v>
      </c>
      <c r="F4" s="14">
        <v>21000</v>
      </c>
    </row>
    <row r="5" spans="2:6">
      <c r="B5" s="10" t="s">
        <v>38</v>
      </c>
      <c r="C5" s="10" t="s">
        <v>48</v>
      </c>
      <c r="D5" s="10" t="s">
        <v>39</v>
      </c>
      <c r="E5" s="13">
        <v>62500</v>
      </c>
      <c r="F5" s="14">
        <v>65000</v>
      </c>
    </row>
    <row r="6" spans="2:6">
      <c r="B6" s="10" t="s">
        <v>40</v>
      </c>
      <c r="C6" s="10" t="s">
        <v>49</v>
      </c>
      <c r="D6" s="10" t="s">
        <v>41</v>
      </c>
      <c r="E6" s="13">
        <v>62533</v>
      </c>
      <c r="F6" s="14">
        <v>61890</v>
      </c>
    </row>
    <row r="7" spans="2:6">
      <c r="B7" s="10" t="s">
        <v>50</v>
      </c>
      <c r="C7" s="10" t="s">
        <v>12</v>
      </c>
      <c r="D7" s="10" t="s">
        <v>42</v>
      </c>
      <c r="E7" s="13">
        <v>32560</v>
      </c>
      <c r="F7" s="14">
        <v>33000</v>
      </c>
    </row>
    <row r="8" spans="2:6">
      <c r="B8" s="10" t="s">
        <v>51</v>
      </c>
      <c r="C8" s="10" t="s">
        <v>49</v>
      </c>
      <c r="D8" s="10" t="s">
        <v>37</v>
      </c>
      <c r="E8" s="13">
        <v>64250</v>
      </c>
      <c r="F8" s="14">
        <v>56000</v>
      </c>
    </row>
    <row r="9" spans="2:6">
      <c r="B9" s="10" t="s">
        <v>43</v>
      </c>
      <c r="C9" s="10" t="s">
        <v>12</v>
      </c>
      <c r="D9" s="10" t="s">
        <v>41</v>
      </c>
      <c r="E9" s="13">
        <v>45850</v>
      </c>
      <c r="F9" s="14">
        <v>43650</v>
      </c>
    </row>
    <row r="10" spans="2:6">
      <c r="B10" s="10" t="s">
        <v>52</v>
      </c>
      <c r="C10" s="10" t="s">
        <v>12</v>
      </c>
      <c r="D10" s="10" t="s">
        <v>39</v>
      </c>
      <c r="E10" s="13">
        <v>56800</v>
      </c>
      <c r="F10" s="14">
        <v>60000</v>
      </c>
    </row>
    <row r="11" spans="2:6">
      <c r="B11" s="10" t="s">
        <v>44</v>
      </c>
      <c r="C11" s="10" t="s">
        <v>53</v>
      </c>
      <c r="D11" s="10" t="s">
        <v>34</v>
      </c>
      <c r="E11" s="13">
        <v>54000</v>
      </c>
      <c r="F11" s="14">
        <v>50000</v>
      </c>
    </row>
    <row r="12" spans="2:6">
      <c r="B12" s="10" t="s">
        <v>45</v>
      </c>
      <c r="C12" s="10" t="s">
        <v>18</v>
      </c>
      <c r="D12" s="10" t="s">
        <v>41</v>
      </c>
      <c r="E12" s="13">
        <v>45110</v>
      </c>
      <c r="F12" s="14">
        <v>45390</v>
      </c>
    </row>
    <row r="13" spans="2:6">
      <c r="B13" s="10" t="s">
        <v>54</v>
      </c>
      <c r="C13" s="10" t="s">
        <v>55</v>
      </c>
      <c r="D13" s="10" t="s">
        <v>42</v>
      </c>
      <c r="E13" s="13">
        <v>58000</v>
      </c>
      <c r="F13" s="14">
        <v>60000</v>
      </c>
    </row>
    <row r="14" spans="2:6">
      <c r="B14" s="10" t="s">
        <v>46</v>
      </c>
      <c r="C14" s="10" t="s">
        <v>18</v>
      </c>
      <c r="D14" s="10" t="s">
        <v>39</v>
      </c>
      <c r="E14" s="13">
        <v>46200</v>
      </c>
      <c r="F14" s="14">
        <v>45000</v>
      </c>
    </row>
    <row r="15" spans="2:6">
      <c r="B15" s="10" t="s">
        <v>47</v>
      </c>
      <c r="C15" s="10" t="s">
        <v>12</v>
      </c>
      <c r="D15" s="10" t="s">
        <v>42</v>
      </c>
      <c r="E15" s="13">
        <v>32560</v>
      </c>
      <c r="F15" s="14">
        <v>32660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15"/>
  <sheetViews>
    <sheetView workbookViewId="0">
      <selection activeCell="I32" sqref="I32"/>
    </sheetView>
  </sheetViews>
  <sheetFormatPr defaultRowHeight="16.5"/>
  <sheetData>
    <row r="1" spans="2:6">
      <c r="B1" s="12"/>
      <c r="C1" s="12"/>
      <c r="D1" s="9" t="s">
        <v>56</v>
      </c>
      <c r="E1" s="12"/>
      <c r="F1" s="12"/>
    </row>
    <row r="2" spans="2:6">
      <c r="B2" s="10" t="s">
        <v>57</v>
      </c>
      <c r="C2" s="10" t="s">
        <v>58</v>
      </c>
      <c r="D2" s="11" t="s">
        <v>59</v>
      </c>
      <c r="E2" s="11" t="s">
        <v>60</v>
      </c>
      <c r="F2" s="11" t="s">
        <v>61</v>
      </c>
    </row>
    <row r="3" spans="2:6">
      <c r="B3" s="10" t="s">
        <v>62</v>
      </c>
      <c r="C3" s="10" t="s">
        <v>12</v>
      </c>
      <c r="D3" s="10" t="s">
        <v>37</v>
      </c>
      <c r="E3" s="13">
        <v>35200</v>
      </c>
      <c r="F3" s="14">
        <v>35000</v>
      </c>
    </row>
    <row r="4" spans="2:6">
      <c r="B4" s="10" t="s">
        <v>63</v>
      </c>
      <c r="C4" s="10" t="s">
        <v>12</v>
      </c>
      <c r="D4" s="10" t="s">
        <v>37</v>
      </c>
      <c r="E4" s="13">
        <v>12500</v>
      </c>
      <c r="F4" s="14">
        <v>21000</v>
      </c>
    </row>
    <row r="5" spans="2:6">
      <c r="B5" s="10" t="s">
        <v>38</v>
      </c>
      <c r="C5" s="10" t="s">
        <v>48</v>
      </c>
      <c r="D5" s="10" t="s">
        <v>39</v>
      </c>
      <c r="E5" s="13">
        <v>62500</v>
      </c>
      <c r="F5" s="14">
        <v>65000</v>
      </c>
    </row>
    <row r="6" spans="2:6">
      <c r="B6" s="10" t="s">
        <v>40</v>
      </c>
      <c r="C6" s="10" t="s">
        <v>48</v>
      </c>
      <c r="D6" s="10" t="s">
        <v>41</v>
      </c>
      <c r="E6" s="13">
        <v>62533</v>
      </c>
      <c r="F6" s="14">
        <v>61890</v>
      </c>
    </row>
    <row r="7" spans="2:6">
      <c r="B7" s="10" t="s">
        <v>50</v>
      </c>
      <c r="C7" s="10" t="s">
        <v>12</v>
      </c>
      <c r="D7" s="10" t="s">
        <v>42</v>
      </c>
      <c r="E7" s="13">
        <v>32560</v>
      </c>
      <c r="F7" s="14">
        <v>33000</v>
      </c>
    </row>
    <row r="8" spans="2:6">
      <c r="B8" s="10" t="s">
        <v>51</v>
      </c>
      <c r="C8" s="10" t="s">
        <v>48</v>
      </c>
      <c r="D8" s="10" t="s">
        <v>37</v>
      </c>
      <c r="E8" s="13">
        <v>64250</v>
      </c>
      <c r="F8" s="14">
        <v>56000</v>
      </c>
    </row>
    <row r="9" spans="2:6">
      <c r="B9" s="10" t="s">
        <v>43</v>
      </c>
      <c r="C9" s="10" t="s">
        <v>12</v>
      </c>
      <c r="D9" s="10" t="s">
        <v>41</v>
      </c>
      <c r="E9" s="13">
        <v>45850</v>
      </c>
      <c r="F9" s="14">
        <v>43650</v>
      </c>
    </row>
    <row r="10" spans="2:6">
      <c r="B10" s="10" t="s">
        <v>52</v>
      </c>
      <c r="C10" s="10" t="s">
        <v>12</v>
      </c>
      <c r="D10" s="10" t="s">
        <v>39</v>
      </c>
      <c r="E10" s="13">
        <v>56800</v>
      </c>
      <c r="F10" s="14">
        <v>60000</v>
      </c>
    </row>
    <row r="11" spans="2:6">
      <c r="B11" s="10" t="s">
        <v>44</v>
      </c>
      <c r="C11" s="10" t="s">
        <v>48</v>
      </c>
      <c r="D11" s="10" t="s">
        <v>34</v>
      </c>
      <c r="E11" s="13">
        <v>54000</v>
      </c>
      <c r="F11" s="14">
        <v>50000</v>
      </c>
    </row>
    <row r="12" spans="2:6">
      <c r="B12" s="10" t="s">
        <v>45</v>
      </c>
      <c r="C12" s="10" t="s">
        <v>18</v>
      </c>
      <c r="D12" s="10" t="s">
        <v>41</v>
      </c>
      <c r="E12" s="13">
        <v>45110</v>
      </c>
      <c r="F12" s="14">
        <v>45390</v>
      </c>
    </row>
    <row r="13" spans="2:6">
      <c r="B13" s="10" t="s">
        <v>54</v>
      </c>
      <c r="C13" s="10" t="s">
        <v>48</v>
      </c>
      <c r="D13" s="10" t="s">
        <v>42</v>
      </c>
      <c r="E13" s="13">
        <v>58000</v>
      </c>
      <c r="F13" s="14">
        <v>60000</v>
      </c>
    </row>
    <row r="14" spans="2:6">
      <c r="B14" s="10" t="s">
        <v>46</v>
      </c>
      <c r="C14" s="10" t="s">
        <v>18</v>
      </c>
      <c r="D14" s="10" t="s">
        <v>39</v>
      </c>
      <c r="E14" s="13">
        <v>46200</v>
      </c>
      <c r="F14" s="14">
        <v>45000</v>
      </c>
    </row>
    <row r="15" spans="2:6">
      <c r="B15" s="10" t="s">
        <v>47</v>
      </c>
      <c r="C15" s="10" t="s">
        <v>12</v>
      </c>
      <c r="D15" s="10" t="s">
        <v>42</v>
      </c>
      <c r="E15" s="13">
        <v>32560</v>
      </c>
      <c r="F15" s="14">
        <v>32660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H12"/>
  <sheetViews>
    <sheetView workbookViewId="0"/>
  </sheetViews>
  <sheetFormatPr defaultRowHeight="16.5"/>
  <cols>
    <col min="4" max="4" width="14.875" customWidth="1"/>
  </cols>
  <sheetData>
    <row r="1" spans="2:8" ht="20.25">
      <c r="B1" s="55" t="s">
        <v>64</v>
      </c>
      <c r="C1" s="55"/>
      <c r="D1" s="55"/>
    </row>
    <row r="2" spans="2:8">
      <c r="B2" s="15"/>
      <c r="C2" s="15"/>
      <c r="D2" s="15"/>
    </row>
    <row r="3" spans="2:8" ht="17.25" thickBot="1">
      <c r="B3" s="16" t="s">
        <v>65</v>
      </c>
      <c r="C3" s="16" t="s">
        <v>66</v>
      </c>
      <c r="D3" s="17" t="s">
        <v>67</v>
      </c>
      <c r="H3" s="18" t="s">
        <v>68</v>
      </c>
    </row>
    <row r="4" spans="2:8" ht="17.25" thickTop="1">
      <c r="B4" s="49"/>
      <c r="C4" s="50"/>
      <c r="D4" s="51"/>
      <c r="H4" s="18" t="s">
        <v>69</v>
      </c>
    </row>
    <row r="5" spans="2:8">
      <c r="B5" s="52"/>
      <c r="C5" s="53"/>
      <c r="D5" s="54"/>
      <c r="H5" s="18" t="s">
        <v>70</v>
      </c>
    </row>
    <row r="6" spans="2:8">
      <c r="B6" s="52"/>
      <c r="C6" s="53"/>
      <c r="D6" s="54"/>
      <c r="H6" s="18" t="s">
        <v>71</v>
      </c>
    </row>
    <row r="7" spans="2:8">
      <c r="B7" s="52"/>
      <c r="C7" s="53"/>
      <c r="D7" s="54"/>
      <c r="H7" s="18" t="s">
        <v>72</v>
      </c>
    </row>
    <row r="8" spans="2:8">
      <c r="B8" s="52"/>
      <c r="C8" s="53"/>
      <c r="D8" s="54"/>
    </row>
    <row r="9" spans="2:8">
      <c r="B9" s="7"/>
      <c r="C9" s="7"/>
      <c r="D9" s="54"/>
    </row>
    <row r="10" spans="2:8">
      <c r="B10" s="7"/>
      <c r="C10" s="7"/>
      <c r="D10" s="54"/>
    </row>
    <row r="11" spans="2:8">
      <c r="B11" s="7"/>
      <c r="C11" s="7"/>
      <c r="D11" s="54"/>
    </row>
    <row r="12" spans="2:8">
      <c r="B12" s="7"/>
      <c r="C12" s="7"/>
      <c r="D12" s="54"/>
    </row>
  </sheetData>
  <mergeCells count="1">
    <mergeCell ref="B1:D1"/>
  </mergeCells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4097" r:id="rId4" name="cmd사원입력">
          <controlPr defaultSize="0" autoLine="0" autoPict="0" r:id="rId5">
            <anchor moveWithCells="1">
              <from>
                <xdr:col>4</xdr:col>
                <xdr:colOff>285750</xdr:colOff>
                <xdr:row>2</xdr:row>
                <xdr:rowOff>0</xdr:rowOff>
              </from>
              <to>
                <xdr:col>6</xdr:col>
                <xdr:colOff>504825</xdr:colOff>
                <xdr:row>3</xdr:row>
                <xdr:rowOff>142875</xdr:rowOff>
              </to>
            </anchor>
          </controlPr>
        </control>
      </mc:Choice>
      <mc:Fallback>
        <control shapeId="4097" r:id="rId4" name="cmd사원입력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16"/>
  <sheetViews>
    <sheetView workbookViewId="0"/>
  </sheetViews>
  <sheetFormatPr defaultRowHeight="16.5"/>
  <cols>
    <col min="11" max="11" width="10.75" bestFit="1" customWidth="1"/>
  </cols>
  <sheetData>
    <row r="1" spans="1:11">
      <c r="A1" s="26" t="s">
        <v>74</v>
      </c>
      <c r="B1" s="27"/>
      <c r="C1" s="27"/>
      <c r="D1" s="19"/>
      <c r="E1" s="26"/>
      <c r="F1" s="26"/>
    </row>
    <row r="2" spans="1:11" ht="17.25" thickBot="1">
      <c r="A2" s="20" t="s">
        <v>75</v>
      </c>
      <c r="B2" s="20" t="s">
        <v>76</v>
      </c>
      <c r="C2" s="20" t="s">
        <v>77</v>
      </c>
      <c r="D2" s="20" t="s">
        <v>73</v>
      </c>
      <c r="E2" s="20" t="s">
        <v>78</v>
      </c>
      <c r="F2" s="21" t="s">
        <v>79</v>
      </c>
    </row>
    <row r="3" spans="1:11" ht="17.25" thickTop="1">
      <c r="A3" s="22"/>
      <c r="B3" s="22"/>
      <c r="C3" s="22"/>
      <c r="D3" s="22"/>
      <c r="E3" s="22"/>
      <c r="F3" s="23"/>
    </row>
    <row r="4" spans="1:11">
      <c r="A4" s="24"/>
      <c r="B4" s="24"/>
      <c r="C4" s="24"/>
      <c r="D4" s="24"/>
      <c r="E4" s="24"/>
      <c r="F4" s="25"/>
    </row>
    <row r="5" spans="1:11" ht="17.25" thickBot="1">
      <c r="A5" s="24"/>
      <c r="B5" s="24"/>
      <c r="C5" s="24"/>
      <c r="D5" s="24"/>
      <c r="E5" s="24"/>
      <c r="F5" s="25"/>
      <c r="H5" s="28" t="s">
        <v>107</v>
      </c>
      <c r="I5" s="26"/>
      <c r="J5" s="26"/>
      <c r="K5" s="19"/>
    </row>
    <row r="6" spans="1:11" ht="17.25" thickTop="1">
      <c r="A6" s="24"/>
      <c r="B6" s="24"/>
      <c r="C6" s="24"/>
      <c r="D6" s="24"/>
      <c r="E6" s="24"/>
      <c r="F6" s="25"/>
      <c r="H6" s="29" t="s">
        <v>80</v>
      </c>
      <c r="I6" s="30" t="s">
        <v>108</v>
      </c>
      <c r="J6" s="30" t="s">
        <v>78</v>
      </c>
      <c r="K6" s="31" t="s">
        <v>109</v>
      </c>
    </row>
    <row r="7" spans="1:11">
      <c r="A7" s="24"/>
      <c r="B7" s="24"/>
      <c r="C7" s="24"/>
      <c r="D7" s="24"/>
      <c r="E7" s="24"/>
      <c r="F7" s="25"/>
      <c r="H7" s="32" t="s">
        <v>81</v>
      </c>
      <c r="I7" s="33" t="s">
        <v>110</v>
      </c>
      <c r="J7" s="33" t="s">
        <v>82</v>
      </c>
      <c r="K7" s="39">
        <v>100000</v>
      </c>
    </row>
    <row r="8" spans="1:11">
      <c r="A8" s="24"/>
      <c r="B8" s="24"/>
      <c r="C8" s="24"/>
      <c r="D8" s="24"/>
      <c r="E8" s="24"/>
      <c r="F8" s="25"/>
      <c r="H8" s="32" t="s">
        <v>83</v>
      </c>
      <c r="I8" s="33" t="s">
        <v>90</v>
      </c>
      <c r="J8" s="24" t="s">
        <v>91</v>
      </c>
      <c r="K8" s="39">
        <v>110000</v>
      </c>
    </row>
    <row r="9" spans="1:11">
      <c r="A9" s="24"/>
      <c r="B9" s="24"/>
      <c r="C9" s="24"/>
      <c r="D9" s="24"/>
      <c r="E9" s="24"/>
      <c r="F9" s="25"/>
      <c r="H9" s="32" t="s">
        <v>92</v>
      </c>
      <c r="I9" s="33" t="s">
        <v>84</v>
      </c>
      <c r="J9" s="33" t="s">
        <v>85</v>
      </c>
      <c r="K9" s="39">
        <v>100000</v>
      </c>
    </row>
    <row r="10" spans="1:11">
      <c r="A10" s="24"/>
      <c r="B10" s="24"/>
      <c r="C10" s="24"/>
      <c r="D10" s="24"/>
      <c r="E10" s="24"/>
      <c r="F10" s="25"/>
      <c r="H10" s="32" t="s">
        <v>93</v>
      </c>
      <c r="I10" s="33" t="s">
        <v>94</v>
      </c>
      <c r="J10" s="33" t="s">
        <v>86</v>
      </c>
      <c r="K10" s="39">
        <v>100000</v>
      </c>
    </row>
    <row r="11" spans="1:11">
      <c r="A11" s="24"/>
      <c r="B11" s="24"/>
      <c r="C11" s="24"/>
      <c r="D11" s="24"/>
      <c r="E11" s="24"/>
      <c r="F11" s="25"/>
      <c r="H11" s="32" t="s">
        <v>95</v>
      </c>
      <c r="I11" s="33" t="s">
        <v>96</v>
      </c>
      <c r="J11" s="24" t="s">
        <v>87</v>
      </c>
      <c r="K11" s="39">
        <v>120000</v>
      </c>
    </row>
    <row r="12" spans="1:11">
      <c r="A12" s="24"/>
      <c r="B12" s="24"/>
      <c r="C12" s="24"/>
      <c r="D12" s="24"/>
      <c r="E12" s="24"/>
      <c r="F12" s="25"/>
      <c r="H12" s="32" t="s">
        <v>97</v>
      </c>
      <c r="I12" s="34" t="s">
        <v>98</v>
      </c>
      <c r="J12" s="35" t="s">
        <v>99</v>
      </c>
      <c r="K12" s="39">
        <v>120000</v>
      </c>
    </row>
    <row r="13" spans="1:11">
      <c r="A13" s="24"/>
      <c r="B13" s="24"/>
      <c r="C13" s="24"/>
      <c r="D13" s="24"/>
      <c r="E13" s="24"/>
      <c r="F13" s="25"/>
      <c r="H13" s="32" t="s">
        <v>100</v>
      </c>
      <c r="I13" s="33" t="s">
        <v>101</v>
      </c>
      <c r="J13" s="24" t="s">
        <v>102</v>
      </c>
      <c r="K13" s="39">
        <v>110000</v>
      </c>
    </row>
    <row r="14" spans="1:11">
      <c r="A14" s="24"/>
      <c r="B14" s="24"/>
      <c r="C14" s="24"/>
      <c r="D14" s="24"/>
      <c r="E14" s="24"/>
      <c r="F14" s="25"/>
      <c r="H14" s="32" t="s">
        <v>103</v>
      </c>
      <c r="I14" s="33" t="s">
        <v>104</v>
      </c>
      <c r="J14" s="24" t="s">
        <v>88</v>
      </c>
      <c r="K14" s="39">
        <v>100000</v>
      </c>
    </row>
    <row r="15" spans="1:11" ht="17.25" thickBot="1">
      <c r="A15" s="24"/>
      <c r="B15" s="24"/>
      <c r="C15" s="24"/>
      <c r="D15" s="24"/>
      <c r="E15" s="24"/>
      <c r="F15" s="25"/>
      <c r="H15" s="36" t="s">
        <v>105</v>
      </c>
      <c r="I15" s="37" t="s">
        <v>106</v>
      </c>
      <c r="J15" s="38" t="s">
        <v>89</v>
      </c>
      <c r="K15" s="40">
        <v>100000</v>
      </c>
    </row>
    <row r="16" spans="1:11" ht="17.25" thickTop="1"/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md수강등록">
          <controlPr defaultSize="0" autoLine="0" r:id="rId4">
            <anchor moveWithCells="1">
              <from>
                <xdr:col>7</xdr:col>
                <xdr:colOff>9525</xdr:colOff>
                <xdr:row>1</xdr:row>
                <xdr:rowOff>9525</xdr:rowOff>
              </from>
              <to>
                <xdr:col>8</xdr:col>
                <xdr:colOff>676275</xdr:colOff>
                <xdr:row>2</xdr:row>
                <xdr:rowOff>161925</xdr:rowOff>
              </to>
            </anchor>
          </controlPr>
        </control>
      </mc:Choice>
      <mc:Fallback>
        <control shapeId="5122" r:id="rId3" name="cmd수강등록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7"/>
  <sheetViews>
    <sheetView workbookViewId="0">
      <selection activeCell="H13" sqref="H13"/>
    </sheetView>
  </sheetViews>
  <sheetFormatPr defaultRowHeight="16.5"/>
  <cols>
    <col min="1" max="1" width="16.75" bestFit="1" customWidth="1"/>
    <col min="2" max="2" width="9.375" bestFit="1" customWidth="1"/>
    <col min="3" max="3" width="11.875" bestFit="1" customWidth="1"/>
    <col min="4" max="4" width="9.875" bestFit="1" customWidth="1"/>
  </cols>
  <sheetData>
    <row r="1" spans="1:4" ht="17.25" thickBot="1">
      <c r="A1" s="26"/>
      <c r="B1" s="26"/>
      <c r="C1" s="26"/>
      <c r="D1" s="26"/>
    </row>
    <row r="2" spans="1:4" ht="17.25" thickBot="1">
      <c r="A2" s="41" t="s">
        <v>111</v>
      </c>
      <c r="B2" s="41" t="s">
        <v>112</v>
      </c>
      <c r="C2" s="41" t="s">
        <v>113</v>
      </c>
      <c r="D2" s="42" t="s">
        <v>114</v>
      </c>
    </row>
    <row r="3" spans="1:4">
      <c r="A3" s="43" t="s">
        <v>115</v>
      </c>
      <c r="B3" s="43">
        <v>785720</v>
      </c>
      <c r="C3" s="43">
        <v>28285904</v>
      </c>
      <c r="D3" s="44">
        <v>1714096</v>
      </c>
    </row>
    <row r="4" spans="1:4">
      <c r="A4" s="45" t="s">
        <v>116</v>
      </c>
      <c r="B4" s="45">
        <v>779908</v>
      </c>
      <c r="C4" s="45">
        <v>28076678</v>
      </c>
      <c r="D4" s="46">
        <v>1923322</v>
      </c>
    </row>
    <row r="5" spans="1:4">
      <c r="A5" s="45" t="s">
        <v>117</v>
      </c>
      <c r="B5" s="45">
        <v>774127</v>
      </c>
      <c r="C5" s="45">
        <v>27868569</v>
      </c>
      <c r="D5" s="46">
        <v>2131431</v>
      </c>
    </row>
    <row r="6" spans="1:4">
      <c r="A6" s="45" t="s">
        <v>118</v>
      </c>
      <c r="B6" s="45">
        <v>768378</v>
      </c>
      <c r="C6" s="45">
        <v>27661574</v>
      </c>
      <c r="D6" s="46">
        <v>2338426</v>
      </c>
    </row>
    <row r="7" spans="1:4" ht="17.25" thickBot="1">
      <c r="A7" s="47" t="s">
        <v>119</v>
      </c>
      <c r="B7" s="47">
        <v>762659</v>
      </c>
      <c r="C7" s="47">
        <v>27455692</v>
      </c>
      <c r="D7" s="48">
        <v>2544308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md조회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6145" r:id="rId3" name="cmd조회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차트1(예제)</vt:lpstr>
      <vt:lpstr>차트1(결과)</vt:lpstr>
      <vt:lpstr>차트2(예제)</vt:lpstr>
      <vt:lpstr>차트2(결과)</vt:lpstr>
      <vt:lpstr>차트3(예제)</vt:lpstr>
      <vt:lpstr>차트3(결과)</vt:lpstr>
      <vt:lpstr>사원현황(예제)</vt:lpstr>
      <vt:lpstr>수강등록(예제)</vt:lpstr>
      <vt:lpstr>조회(예제)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사용자</dc:creator>
  <cp:lastModifiedBy>Registered User</cp:lastModifiedBy>
  <dcterms:created xsi:type="dcterms:W3CDTF">2014-07-05T18:30:44Z</dcterms:created>
  <dcterms:modified xsi:type="dcterms:W3CDTF">2017-10-09T04:25:50Z</dcterms:modified>
</cp:coreProperties>
</file>