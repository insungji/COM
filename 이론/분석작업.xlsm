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60" windowWidth="15075" windowHeight="7830" tabRatio="872"/>
  </bookViews>
  <sheets>
    <sheet name="피벗1(예제)" sheetId="49" r:id="rId1"/>
    <sheet name="피벗1(결과)" sheetId="44" r:id="rId2"/>
    <sheet name="피벗2(예제)" sheetId="58" r:id="rId3"/>
    <sheet name="서울 85㎡ 이하(결과)" sheetId="54" r:id="rId4"/>
    <sheet name="피벗차트(결과)" sheetId="55" r:id="rId5"/>
    <sheet name="피벗2(결과)" sheetId="57" r:id="rId6"/>
    <sheet name="통합1(예제)" sheetId="22" r:id="rId7"/>
    <sheet name="통합1(결과)" sheetId="6" r:id="rId8"/>
    <sheet name="통합2(예제)" sheetId="23" r:id="rId9"/>
    <sheet name="통합2(결과)" sheetId="7" r:id="rId10"/>
    <sheet name="정렬1(예제)" sheetId="8" r:id="rId11"/>
    <sheet name="정렬1(결과)" sheetId="24" r:id="rId12"/>
    <sheet name="정렬2(예제)" sheetId="9" r:id="rId13"/>
    <sheet name="정렬2(결과)" sheetId="25" r:id="rId14"/>
    <sheet name="부분합1(예제)" sheetId="26" r:id="rId15"/>
    <sheet name="부분합1(결과)" sheetId="12" r:id="rId16"/>
    <sheet name="부분합2(예제)" sheetId="13" r:id="rId17"/>
    <sheet name="부분합2(결과)" sheetId="27" r:id="rId18"/>
    <sheet name="데이터표1(예제)" sheetId="14" r:id="rId19"/>
    <sheet name="데이터표1(결과)" sheetId="28" r:id="rId20"/>
    <sheet name="데이터표2(예제)" sheetId="15" r:id="rId21"/>
    <sheet name="데이터표2(결과)" sheetId="29" r:id="rId22"/>
    <sheet name="목표값1(예제)" sheetId="30" r:id="rId23"/>
    <sheet name="목표값1(결과)" sheetId="16" r:id="rId24"/>
    <sheet name="목표값2(예제)" sheetId="17" r:id="rId25"/>
    <sheet name="목표값2(결과)" sheetId="31" r:id="rId26"/>
    <sheet name="시나리오1(예제)" sheetId="32" r:id="rId27"/>
    <sheet name="시나리오1(결과)" sheetId="37" r:id="rId28"/>
    <sheet name="시나리오2(예제)" sheetId="19" r:id="rId29"/>
    <sheet name="시나리오2(결과)" sheetId="39" r:id="rId30"/>
    <sheet name="매크로1(예제)" sheetId="34" r:id="rId31"/>
    <sheet name="매크로1(결과)" sheetId="20" r:id="rId32"/>
    <sheet name="매크로2(예제)" sheetId="21" r:id="rId33"/>
    <sheet name="매크로2(결과)" sheetId="35" r:id="rId34"/>
  </sheets>
  <definedNames>
    <definedName name="_xlnm._FilterDatabase" localSheetId="31" hidden="1">'매크로1(결과)'!$A$5:$I$35</definedName>
    <definedName name="_xlnm._FilterDatabase" localSheetId="33" hidden="1">'매크로2(결과)'!$B$5:$F$23</definedName>
    <definedName name="MS_Access_Database_Query_1" localSheetId="31">'매크로1(결과)'!$A$5:$I$35</definedName>
    <definedName name="MS_Access_Database_Query_1" localSheetId="30">'매크로1(예제)'!$A$5:$I$35</definedName>
    <definedName name="생산량" localSheetId="26">'시나리오1(예제)'!$B$3</definedName>
    <definedName name="재고단가" localSheetId="26">'시나리오1(예제)'!$B$6</definedName>
    <definedName name="재고량" localSheetId="26">'시나리오1(예제)'!$B$9</definedName>
    <definedName name="재고부담률">'시나리오1(예제)'!$B$11</definedName>
    <definedName name="재고비용" localSheetId="26">'시나리오1(예제)'!$B$10</definedName>
    <definedName name="판매단가" localSheetId="26">'시나리오1(예제)'!$B$5</definedName>
    <definedName name="판매량" localSheetId="26">'시나리오1(예제)'!$B$4</definedName>
    <definedName name="판매액" localSheetId="26">'시나리오1(예제)'!$B$8</definedName>
  </definedNames>
  <calcPr calcId="145621"/>
  <pivotCaches>
    <pivotCache cacheId="0" r:id="rId35"/>
    <pivotCache cacheId="1" r:id="rId36"/>
  </pivotCaches>
</workbook>
</file>

<file path=xl/calcChain.xml><?xml version="1.0" encoding="utf-8"?>
<calcChain xmlns="http://schemas.openxmlformats.org/spreadsheetml/2006/main">
  <c r="G19" i="27" l="1"/>
  <c r="G17" i="27"/>
  <c r="G13" i="27"/>
  <c r="G8" i="27"/>
  <c r="G18" i="27"/>
  <c r="G14" i="27"/>
  <c r="G9" i="27"/>
  <c r="G17" i="12"/>
  <c r="G16" i="12"/>
  <c r="G10" i="12"/>
  <c r="B9" i="32"/>
  <c r="B10" i="32" s="1"/>
  <c r="B8" i="32"/>
  <c r="C8" i="31"/>
  <c r="F5" i="30"/>
  <c r="B6" i="29"/>
  <c r="B10" i="29" s="1"/>
  <c r="B5" i="28"/>
  <c r="B8" i="28" s="1"/>
  <c r="B12" i="28" s="1"/>
  <c r="E5" i="28" s="1"/>
  <c r="F11" i="24"/>
  <c r="E11" i="24"/>
  <c r="F8" i="24"/>
  <c r="E8" i="24"/>
  <c r="F7" i="24"/>
  <c r="E7" i="24"/>
  <c r="F6" i="24"/>
  <c r="E6" i="24"/>
  <c r="F5" i="24"/>
  <c r="E5" i="24"/>
  <c r="F4" i="24"/>
  <c r="E4" i="24"/>
  <c r="F10" i="24"/>
  <c r="E10" i="24"/>
  <c r="F3" i="24"/>
  <c r="E3" i="24"/>
  <c r="F9" i="24"/>
  <c r="E9" i="24"/>
  <c r="B11" i="32" l="1"/>
  <c r="G20" i="27"/>
  <c r="C11" i="19"/>
  <c r="C6" i="19"/>
  <c r="C5" i="19"/>
  <c r="C10" i="19" s="1"/>
  <c r="C8" i="17"/>
  <c r="F5" i="16"/>
  <c r="B6" i="15"/>
  <c r="B5" i="14"/>
  <c r="B8" i="14" s="1"/>
  <c r="B12" i="14" s="1"/>
  <c r="F11" i="8"/>
  <c r="E11" i="8"/>
  <c r="F10" i="8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C12" i="19" l="1"/>
  <c r="C13" i="19"/>
  <c r="C9" i="19" s="1"/>
  <c r="C7" i="19"/>
  <c r="C15" i="19" s="1"/>
</calcChain>
</file>

<file path=xl/connections.xml><?xml version="1.0" encoding="utf-8"?>
<connections xmlns="http://schemas.openxmlformats.org/spreadsheetml/2006/main">
  <connection id="1" name="MS Access Database_Query" type="1" refreshedVersion="3">
    <dbPr connection="DSN=MS Access Database;DBQ=F:\외장형하드(LG)\영진(2015년)\1급\엑셀파일1급(2015년)\이론\고객관리.accdb;DefaultDir=F:\외장형하드(LG)\영진(2015년)\1급\엑셀파일1급(2015년)\이론;DriverId=25;FIL=MS Access;MaxBufferSize=2048;PageTimeout=5;" command="SELECT 고객관리.최종주문일, 고객관리.지역, 고객관리.성별, 고객관리.구매실적합계_x000d__x000a_FROM 고객관리 고객관리"/>
  </connection>
  <connection id="2" name="MS Access Database_Query1" type="1" refreshedVersion="3">
    <dbPr connection="DSN=MS Access Database;DBQ=F:\외장형하드(LG)\영진(2015년)\1급\엑셀파일1급(2015년)\이론\핸드폰.accdb;DefaultDir=F:\외장형하드(LG)\영진(2015년)\1급\엑셀파일1급(2015년)\이론;DriverId=25;FIL=MS Access;MaxBufferSize=2048;PageTimeout=5;" command="SELECT 핸드폰상품목록.상품코드, 핸드폰상품목록.판매조건, 핸드폰상품목록.단말기가격, 핸드폰상품목록.기타비용, 핸드폰상품목록.할인율_x000d__x000a_FROM 핸드폰상품목록 핸드폰상품목록"/>
  </connection>
  <connection id="3" name="MS Access Database_Query2" type="1" refreshedVersion="3">
    <dbPr connection="DSN=MS Access Database;DBQ=F:\외장형하드(LG)\영진(2016년)\스프레드시트(2016)\이론\고객관리.accdb;DefaultDir=F:\외장형하드(LG)\영진(2016년)\스프레드시트(2016)\이론;DriverId=25;FIL=MS Access;MaxBufferSize=2048;PageTimeout=5;" command="SELECT 고객관리.최종주문일, 고객관리.지역, 고객관리.성별, 고객관리.구매실적합계_x000d__x000a_FROM 고객관리 고객관리"/>
  </connection>
  <connection id="4" name="연결" type="1" refreshedVersion="2" background="1" saveData="1">
    <dbPr connection="DSN=MS Access Database;DBQ=C:\윤정\컴활(2006년)\1급\모의고사\기초1\DVD대여.mdb;DefaultDir=C:\윤정\컴활(2006년)\1급\모의고사\기초1;DriverId=25;FIL=MS Access;MaxBufferSize=2048;PageTimeout=5;" command="SELECT DVD목록.관리코드, DVD목록.타이틀명, DVD목록.입고일자, DVD목록.가격, DVD목록.장르, DVD목록.시간, DVD목록.제작년도, DVD목록.대여료, DVD목록.대여기간_x000d__x000a_FROM `C:\윤정\컴활(2006년)\1급\모의고사\기초1\DVD대여`.DVD목록 DVD목록"/>
  </connection>
  <connection id="5" name="연결1" type="1" refreshedVersion="2" background="1" saveData="1">
    <dbPr connection="DSN=MS Access Database;DBQ=C:\윤정\컴활(2006년)\1급\모의고사\기초1\DVD대여.mdb;DefaultDir=C:\윤정\컴활(2006년)\1급\모의고사\기초1;DriverId=25;FIL=MS Access;MaxBufferSize=2048;PageTimeout=5;" command="SELECT DVD목록.관리코드, DVD목록.타이틀명, DVD목록.입고일자, DVD목록.가격, DVD목록.장르, DVD목록.시간, DVD목록.제작년도, DVD목록.대여료, DVD목록.대여기간_x000d__x000a_FROM `C:\윤정\컴활(2006년)\1급\모의고사\기초1\DVD대여`.DVD목록 DVD목록"/>
  </connection>
</connections>
</file>

<file path=xl/sharedStrings.xml><?xml version="1.0" encoding="utf-8"?>
<sst xmlns="http://schemas.openxmlformats.org/spreadsheetml/2006/main" count="1473" uniqueCount="390">
  <si>
    <t>총합계</t>
  </si>
  <si>
    <t>여</t>
  </si>
  <si>
    <t>남</t>
  </si>
  <si>
    <t>지역</t>
  </si>
  <si>
    <t>성별</t>
  </si>
  <si>
    <t>2월</t>
  </si>
  <si>
    <t>3월</t>
  </si>
  <si>
    <t>값</t>
  </si>
  <si>
    <t>[표1]  서울지사 판매현황</t>
  </si>
  <si>
    <t>[표2]  경인지사 판매현황</t>
  </si>
  <si>
    <t>[표3]  제주지사 판매현황</t>
  </si>
  <si>
    <t>마트명</t>
    <phoneticPr fontId="3" type="noConversion"/>
  </si>
  <si>
    <t>1월</t>
    <phoneticPr fontId="3" type="noConversion"/>
  </si>
  <si>
    <t>A마트</t>
    <phoneticPr fontId="3" type="noConversion"/>
  </si>
  <si>
    <t>B마트</t>
    <phoneticPr fontId="3" type="noConversion"/>
  </si>
  <si>
    <t>C마트</t>
    <phoneticPr fontId="3" type="noConversion"/>
  </si>
  <si>
    <t>D마트</t>
    <phoneticPr fontId="3" type="noConversion"/>
  </si>
  <si>
    <t>E마트</t>
    <phoneticPr fontId="3" type="noConversion"/>
  </si>
  <si>
    <t>[표4]  1사분기 판매합계</t>
    <phoneticPr fontId="3" type="noConversion"/>
  </si>
  <si>
    <t>4월</t>
    <phoneticPr fontId="3" type="noConversion"/>
  </si>
  <si>
    <t>5월</t>
    <phoneticPr fontId="3" type="noConversion"/>
  </si>
  <si>
    <t>[표5]  1사분기 판매건수</t>
    <phoneticPr fontId="3" type="noConversion"/>
  </si>
  <si>
    <t>박신희</t>
  </si>
  <si>
    <t>문경태</t>
  </si>
  <si>
    <t>정수정</t>
  </si>
  <si>
    <t>오금린</t>
  </si>
  <si>
    <t>[표4] 담당자별 지역별 최대값</t>
    <phoneticPr fontId="3" type="noConversion"/>
  </si>
  <si>
    <t>담당자</t>
    <phoneticPr fontId="3" type="noConversion"/>
  </si>
  <si>
    <t>서울</t>
    <phoneticPr fontId="3" type="noConversion"/>
  </si>
  <si>
    <t>성남</t>
    <phoneticPr fontId="3" type="noConversion"/>
  </si>
  <si>
    <t>인천</t>
    <phoneticPr fontId="3" type="noConversion"/>
  </si>
  <si>
    <t>수원</t>
    <phoneticPr fontId="3" type="noConversion"/>
  </si>
  <si>
    <t>[표2] 2월</t>
    <phoneticPr fontId="3" type="noConversion"/>
  </si>
  <si>
    <t>부산</t>
    <phoneticPr fontId="3" type="noConversion"/>
  </si>
  <si>
    <t>[표5] 담당자별 지역별 최소값</t>
    <phoneticPr fontId="3" type="noConversion"/>
  </si>
  <si>
    <t>[표3] 3월</t>
    <phoneticPr fontId="3" type="noConversion"/>
  </si>
  <si>
    <t>광주</t>
    <phoneticPr fontId="3" type="noConversion"/>
  </si>
  <si>
    <t>[표1] 1월</t>
    <phoneticPr fontId="3" type="noConversion"/>
  </si>
  <si>
    <t>담당자</t>
    <phoneticPr fontId="3" type="noConversion"/>
  </si>
  <si>
    <t>서울</t>
    <phoneticPr fontId="3" type="noConversion"/>
  </si>
  <si>
    <t>성남</t>
    <phoneticPr fontId="3" type="noConversion"/>
  </si>
  <si>
    <t>강원</t>
    <phoneticPr fontId="3" type="noConversion"/>
  </si>
  <si>
    <t>수원</t>
    <phoneticPr fontId="3" type="noConversion"/>
  </si>
  <si>
    <t>불합격</t>
  </si>
  <si>
    <t>합격</t>
  </si>
  <si>
    <t>컴퓨터 활용 능력 합격자 발표</t>
    <phoneticPr fontId="3" type="noConversion"/>
  </si>
  <si>
    <t>수검번호</t>
    <phoneticPr fontId="3" type="noConversion"/>
  </si>
  <si>
    <t>성명</t>
    <phoneticPr fontId="3" type="noConversion"/>
  </si>
  <si>
    <t>필기</t>
    <phoneticPr fontId="3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</si>
  <si>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P</t>
    </r>
    <phoneticPr fontId="3" type="noConversion"/>
  </si>
  <si>
    <t>합계</t>
    <phoneticPr fontId="3" type="noConversion"/>
  </si>
  <si>
    <t>평균</t>
    <phoneticPr fontId="3" type="noConversion"/>
  </si>
  <si>
    <t>합격여부</t>
    <phoneticPr fontId="3" type="noConversion"/>
  </si>
  <si>
    <t>강사랑</t>
    <phoneticPr fontId="3" type="noConversion"/>
  </si>
  <si>
    <t>김여울</t>
    <phoneticPr fontId="3" type="noConversion"/>
  </si>
  <si>
    <t>김정현</t>
    <phoneticPr fontId="3" type="noConversion"/>
  </si>
  <si>
    <t>류하늘</t>
    <phoneticPr fontId="3" type="noConversion"/>
  </si>
  <si>
    <t>박바다</t>
    <phoneticPr fontId="3" type="noConversion"/>
  </si>
  <si>
    <t>엄지손</t>
    <phoneticPr fontId="3" type="noConversion"/>
  </si>
  <si>
    <t>이타석</t>
    <phoneticPr fontId="3" type="noConversion"/>
  </si>
  <si>
    <t>장돌뱅</t>
    <phoneticPr fontId="3" type="noConversion"/>
  </si>
  <si>
    <t>최호수</t>
    <phoneticPr fontId="3" type="noConversion"/>
  </si>
  <si>
    <t>전지분유</t>
  </si>
  <si>
    <t>탈지분유</t>
  </si>
  <si>
    <t> 증감량</t>
  </si>
  <si>
    <t>엠오푸드</t>
  </si>
  <si>
    <t>기타</t>
  </si>
  <si>
    <t>삼양식품</t>
  </si>
  <si>
    <t>서울우유합</t>
  </si>
  <si>
    <t>우목촌</t>
  </si>
  <si>
    <t>분유 납품 현황</t>
    <phoneticPr fontId="3" type="noConversion"/>
  </si>
  <si>
    <t>단위: t</t>
    <phoneticPr fontId="3" type="noConversion"/>
  </si>
  <si>
    <t>업체명</t>
    <phoneticPr fontId="3" type="noConversion"/>
  </si>
  <si>
    <t>구분</t>
    <phoneticPr fontId="3" type="noConversion"/>
  </si>
  <si>
    <t>계</t>
    <phoneticPr fontId="3" type="noConversion"/>
  </si>
  <si>
    <t>건욱유업</t>
    <phoneticPr fontId="3" type="noConversion"/>
  </si>
  <si>
    <t>회원사</t>
    <phoneticPr fontId="3" type="noConversion"/>
  </si>
  <si>
    <t>경동낙협</t>
    <phoneticPr fontId="3" type="noConversion"/>
  </si>
  <si>
    <t>조합</t>
    <phoneticPr fontId="3" type="noConversion"/>
  </si>
  <si>
    <t>경천낙협</t>
    <phoneticPr fontId="3" type="noConversion"/>
  </si>
  <si>
    <t>남동유업</t>
    <phoneticPr fontId="3" type="noConversion"/>
  </si>
  <si>
    <t>대천우유합</t>
    <phoneticPr fontId="3" type="noConversion"/>
  </si>
  <si>
    <t>로우햄우유</t>
    <phoneticPr fontId="3" type="noConversion"/>
  </si>
  <si>
    <t>매달유업</t>
    <phoneticPr fontId="3" type="noConversion"/>
  </si>
  <si>
    <t>비회원사</t>
    <phoneticPr fontId="3" type="noConversion"/>
  </si>
  <si>
    <t>모닝콜유업</t>
    <phoneticPr fontId="3" type="noConversion"/>
  </si>
  <si>
    <t>기타</t>
    <phoneticPr fontId="3" type="noConversion"/>
  </si>
  <si>
    <t>부부우유합</t>
    <phoneticPr fontId="3" type="noConversion"/>
  </si>
  <si>
    <t>비록</t>
    <phoneticPr fontId="3" type="noConversion"/>
  </si>
  <si>
    <t>육오대학식품</t>
    <phoneticPr fontId="3" type="noConversion"/>
  </si>
  <si>
    <t>청평우유합</t>
    <phoneticPr fontId="3" type="noConversion"/>
  </si>
  <si>
    <t>조합</t>
    <phoneticPr fontId="3" type="noConversion"/>
  </si>
  <si>
    <t>합계</t>
    <phoneticPr fontId="3" type="noConversion"/>
  </si>
  <si>
    <t>성명</t>
  </si>
  <si>
    <t>기본급</t>
  </si>
  <si>
    <t>수당</t>
  </si>
  <si>
    <t>공제액</t>
  </si>
  <si>
    <t>실수령액</t>
  </si>
  <si>
    <t>김병학</t>
  </si>
  <si>
    <t>유주영</t>
  </si>
  <si>
    <t>박성희</t>
  </si>
  <si>
    <t>조항관</t>
  </si>
  <si>
    <t>임하영</t>
  </si>
  <si>
    <t>한상국</t>
  </si>
  <si>
    <t>김영숙</t>
  </si>
  <si>
    <t>문규례</t>
  </si>
  <si>
    <t>신명섭</t>
  </si>
  <si>
    <t>김현욱</t>
  </si>
  <si>
    <t>급여현황</t>
    <phoneticPr fontId="3" type="noConversion"/>
  </si>
  <si>
    <t>성별</t>
    <phoneticPr fontId="3" type="noConversion"/>
  </si>
  <si>
    <t>남</t>
    <phoneticPr fontId="3" type="noConversion"/>
  </si>
  <si>
    <t>남</t>
    <phoneticPr fontId="3" type="noConversion"/>
  </si>
  <si>
    <t>여</t>
    <phoneticPr fontId="3" type="noConversion"/>
  </si>
  <si>
    <t>여</t>
    <phoneticPr fontId="3" type="noConversion"/>
  </si>
  <si>
    <t>남주희</t>
    <phoneticPr fontId="3" type="noConversion"/>
  </si>
  <si>
    <t>남</t>
    <phoneticPr fontId="3" type="noConversion"/>
  </si>
  <si>
    <t>여</t>
    <phoneticPr fontId="3" type="noConversion"/>
  </si>
  <si>
    <t>남</t>
    <phoneticPr fontId="3" type="noConversion"/>
  </si>
  <si>
    <t>여</t>
    <phoneticPr fontId="3" type="noConversion"/>
  </si>
  <si>
    <t>남</t>
    <phoneticPr fontId="3" type="noConversion"/>
  </si>
  <si>
    <t>남</t>
    <phoneticPr fontId="3" type="noConversion"/>
  </si>
  <si>
    <t>여</t>
    <phoneticPr fontId="3" type="noConversion"/>
  </si>
  <si>
    <t>한국근대사 성적</t>
    <phoneticPr fontId="3" type="noConversion"/>
  </si>
  <si>
    <t>학년</t>
    <phoneticPr fontId="3" type="noConversion"/>
  </si>
  <si>
    <t>중간</t>
    <phoneticPr fontId="3" type="noConversion"/>
  </si>
  <si>
    <t>기말</t>
    <phoneticPr fontId="3" type="noConversion"/>
  </si>
  <si>
    <t>과제</t>
    <phoneticPr fontId="3" type="noConversion"/>
  </si>
  <si>
    <t>환산점수</t>
    <phoneticPr fontId="3" type="noConversion"/>
  </si>
  <si>
    <t>평가</t>
    <phoneticPr fontId="3" type="noConversion"/>
  </si>
  <si>
    <t>최대식</t>
    <phoneticPr fontId="3" type="noConversion"/>
  </si>
  <si>
    <t>3학년</t>
    <phoneticPr fontId="3" type="noConversion"/>
  </si>
  <si>
    <t>A</t>
    <phoneticPr fontId="3" type="noConversion"/>
  </si>
  <si>
    <t>이종대</t>
    <phoneticPr fontId="3" type="noConversion"/>
  </si>
  <si>
    <t>1학년</t>
    <phoneticPr fontId="3" type="noConversion"/>
  </si>
  <si>
    <t>C</t>
    <phoneticPr fontId="3" type="noConversion"/>
  </si>
  <si>
    <t>김난영</t>
    <phoneticPr fontId="3" type="noConversion"/>
  </si>
  <si>
    <t>정두호</t>
    <phoneticPr fontId="3" type="noConversion"/>
  </si>
  <si>
    <t>2학년</t>
    <phoneticPr fontId="3" type="noConversion"/>
  </si>
  <si>
    <t>B</t>
    <phoneticPr fontId="3" type="noConversion"/>
  </si>
  <si>
    <t>장대철</t>
    <phoneticPr fontId="3" type="noConversion"/>
  </si>
  <si>
    <t>F</t>
    <phoneticPr fontId="3" type="noConversion"/>
  </si>
  <si>
    <t>윤종두</t>
    <phoneticPr fontId="3" type="noConversion"/>
  </si>
  <si>
    <t>최만호</t>
    <phoneticPr fontId="3" type="noConversion"/>
  </si>
  <si>
    <t>D</t>
    <phoneticPr fontId="3" type="noConversion"/>
  </si>
  <si>
    <t>이재곤</t>
    <phoneticPr fontId="3" type="noConversion"/>
  </si>
  <si>
    <t>한주연</t>
    <phoneticPr fontId="3" type="noConversion"/>
  </si>
  <si>
    <t>영업이익 계산시트</t>
    <phoneticPr fontId="3" type="noConversion"/>
  </si>
  <si>
    <t>판매량</t>
    <phoneticPr fontId="3" type="noConversion"/>
  </si>
  <si>
    <t>판매단가</t>
    <phoneticPr fontId="3" type="noConversion"/>
  </si>
  <si>
    <t xml:space="preserve">판매량 </t>
    <phoneticPr fontId="3" type="noConversion"/>
  </si>
  <si>
    <t>매출액</t>
    <phoneticPr fontId="3" type="noConversion"/>
  </si>
  <si>
    <t>판
매
단
가</t>
    <phoneticPr fontId="3" type="noConversion"/>
  </si>
  <si>
    <t>매출원가</t>
    <phoneticPr fontId="3" type="noConversion"/>
  </si>
  <si>
    <t>총이익</t>
    <phoneticPr fontId="3" type="noConversion"/>
  </si>
  <si>
    <t>판매비</t>
    <phoneticPr fontId="3" type="noConversion"/>
  </si>
  <si>
    <t>관리비</t>
    <phoneticPr fontId="3" type="noConversion"/>
  </si>
  <si>
    <t>영업이익</t>
    <phoneticPr fontId="3" type="noConversion"/>
  </si>
  <si>
    <t>매출액</t>
    <phoneticPr fontId="3" type="noConversion"/>
  </si>
  <si>
    <t>매출원가</t>
    <phoneticPr fontId="3" type="noConversion"/>
  </si>
  <si>
    <t>영업이익</t>
    <phoneticPr fontId="3" type="noConversion"/>
  </si>
  <si>
    <t>대출금</t>
    <phoneticPr fontId="3" type="noConversion"/>
  </si>
  <si>
    <t>년이자</t>
    <phoneticPr fontId="3" type="noConversion"/>
  </si>
  <si>
    <t>기간</t>
    <phoneticPr fontId="3" type="noConversion"/>
  </si>
  <si>
    <t>월상환액</t>
    <phoneticPr fontId="3" type="noConversion"/>
  </si>
  <si>
    <t>대출기간</t>
    <phoneticPr fontId="3" type="noConversion"/>
  </si>
  <si>
    <t>차량 할부금 계산</t>
    <phoneticPr fontId="3" type="noConversion"/>
  </si>
  <si>
    <t>차량금액</t>
    <phoneticPr fontId="3" type="noConversion"/>
  </si>
  <si>
    <t>계약금</t>
    <phoneticPr fontId="3" type="noConversion"/>
  </si>
  <si>
    <t>할부금</t>
    <phoneticPr fontId="3" type="noConversion"/>
  </si>
  <si>
    <t>연이율</t>
    <phoneticPr fontId="3" type="noConversion"/>
  </si>
  <si>
    <t>상환기간(개월)</t>
    <phoneticPr fontId="3" type="noConversion"/>
  </si>
  <si>
    <t>월납부액</t>
    <phoneticPr fontId="3" type="noConversion"/>
  </si>
  <si>
    <t>재고부담률 계산시나리오</t>
  </si>
  <si>
    <t>항목</t>
  </si>
  <si>
    <t>현재</t>
  </si>
  <si>
    <t>생산량</t>
  </si>
  <si>
    <t>판매량</t>
  </si>
  <si>
    <t>판매단가</t>
  </si>
  <si>
    <t>재고단가</t>
  </si>
  <si>
    <t>판매액</t>
  </si>
  <si>
    <t>재고량</t>
  </si>
  <si>
    <t>재고비용</t>
  </si>
  <si>
    <t>재고부담률</t>
  </si>
  <si>
    <t>영업 현황 분석</t>
    <phoneticPr fontId="3" type="noConversion"/>
  </si>
  <si>
    <t>제품원가</t>
    <phoneticPr fontId="3" type="noConversion"/>
  </si>
  <si>
    <t>판매수량</t>
    <phoneticPr fontId="3" type="noConversion"/>
  </si>
  <si>
    <t>판매가</t>
    <phoneticPr fontId="3" type="noConversion"/>
  </si>
  <si>
    <t>판매수익</t>
    <phoneticPr fontId="3" type="noConversion"/>
  </si>
  <si>
    <t>총비용</t>
    <phoneticPr fontId="3" type="noConversion"/>
  </si>
  <si>
    <t>인건비</t>
    <phoneticPr fontId="3" type="noConversion"/>
  </si>
  <si>
    <t>광고비</t>
    <phoneticPr fontId="3" type="noConversion"/>
  </si>
  <si>
    <t>일반관리비</t>
    <phoneticPr fontId="3" type="noConversion"/>
  </si>
  <si>
    <t>운송비</t>
    <phoneticPr fontId="3" type="noConversion"/>
  </si>
  <si>
    <t>관리코드</t>
  </si>
  <si>
    <t>타이틀명</t>
  </si>
  <si>
    <t>입고일자</t>
  </si>
  <si>
    <t>가격</t>
  </si>
  <si>
    <t>장르</t>
  </si>
  <si>
    <t>시간</t>
  </si>
  <si>
    <t>제작년도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</si>
  <si>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</si>
  <si>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</si>
  <si>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</si>
  <si>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</si>
  <si>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</si>
  <si>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</si>
  <si>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</si>
  <si>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</si>
  <si>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</si>
  <si>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</si>
  <si>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</si>
  <si>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</si>
  <si>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</si>
  <si>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</si>
  <si>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</si>
  <si>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</si>
  <si>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</si>
  <si>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</si>
  <si>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</si>
  <si>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</si>
  <si>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</si>
  <si>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</si>
  <si>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</si>
  <si>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</si>
  <si>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</si>
  <si>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</si>
  <si>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</si>
  <si>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</si>
  <si>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</si>
  <si>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</si>
  <si>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</si>
  <si>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</si>
  <si>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</si>
  <si>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</si>
  <si>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</si>
  <si>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</si>
  <si>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</si>
  <si>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</si>
  <si>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</si>
  <si>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</si>
  <si>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</si>
  <si>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</si>
  <si>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</si>
  <si>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</si>
  <si>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</si>
  <si>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</si>
  <si>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</si>
  <si>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DVD-21</t>
  </si>
  <si>
    <t>하드 캐쉬</t>
  </si>
  <si>
    <t>DVD-22</t>
  </si>
  <si>
    <t>친구</t>
  </si>
  <si>
    <t>DVD-23</t>
  </si>
  <si>
    <t>진주만</t>
  </si>
  <si>
    <t>DVD-24</t>
  </si>
  <si>
    <t>내겐 너무 가벼운 그녀</t>
  </si>
  <si>
    <t>DVD-25</t>
  </si>
  <si>
    <t>서부전선 이상없다</t>
  </si>
  <si>
    <t>DVD-26</t>
  </si>
  <si>
    <t>슬레이어즈  NEXT</t>
  </si>
  <si>
    <t>DVD-27</t>
  </si>
  <si>
    <t>달마야 놀자</t>
  </si>
  <si>
    <t>DVD-28</t>
  </si>
  <si>
    <t>스파이 게임</t>
  </si>
  <si>
    <t>DVD-29</t>
  </si>
  <si>
    <t>재미있는 영화</t>
  </si>
  <si>
    <t>DVD-30</t>
  </si>
  <si>
    <t>콘에어</t>
  </si>
  <si>
    <t>담당자</t>
  </si>
  <si>
    <t>매출금액</t>
  </si>
  <si>
    <t>받은금액</t>
  </si>
  <si>
    <t>미수금</t>
  </si>
  <si>
    <t>채진욱</t>
  </si>
  <si>
    <t>박형주</t>
  </si>
  <si>
    <t>안병찬</t>
  </si>
  <si>
    <t>이은주</t>
  </si>
  <si>
    <t>지점명</t>
    <phoneticPr fontId="3" type="noConversion"/>
  </si>
  <si>
    <t>강동</t>
    <phoneticPr fontId="3" type="noConversion"/>
  </si>
  <si>
    <t>강서</t>
    <phoneticPr fontId="3" type="noConversion"/>
  </si>
  <si>
    <t>강동</t>
    <phoneticPr fontId="3" type="noConversion"/>
  </si>
  <si>
    <t>강동</t>
    <phoneticPr fontId="3" type="noConversion"/>
  </si>
  <si>
    <t>강서</t>
    <phoneticPr fontId="3" type="noConversion"/>
  </si>
  <si>
    <t>강동</t>
    <phoneticPr fontId="3" type="noConversion"/>
  </si>
  <si>
    <t>강서</t>
    <phoneticPr fontId="3" type="noConversion"/>
  </si>
  <si>
    <t>남 요약</t>
  </si>
  <si>
    <t>여 요약</t>
  </si>
  <si>
    <t>1학년 최대값</t>
  </si>
  <si>
    <t>2학년 최대값</t>
  </si>
  <si>
    <t>3학년 최대값</t>
  </si>
  <si>
    <t>전체 최대값</t>
  </si>
  <si>
    <t>1학년 최소값</t>
  </si>
  <si>
    <t>2학년 최소값</t>
  </si>
  <si>
    <t>3학년 최소값</t>
  </si>
  <si>
    <t>전체 최소값</t>
  </si>
  <si>
    <t>생산/판매변화1</t>
  </si>
  <si>
    <t>생산/판매변화2</t>
  </si>
  <si>
    <t>생산/판매변화3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</si>
  <si>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</si>
  <si>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</si>
  <si>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</si>
  <si>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</si>
  <si>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</si>
  <si>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</si>
  <si>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</si>
  <si>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판매수량</t>
  </si>
  <si>
    <t>영업이익</t>
  </si>
  <si>
    <t>판매수량 증가</t>
  </si>
  <si>
    <t>판매수량 감소</t>
  </si>
  <si>
    <t>번호</t>
  </si>
  <si>
    <t>전용면적</t>
  </si>
  <si>
    <t>청약가능액</t>
  </si>
  <si>
    <t>현재예치금</t>
  </si>
  <si>
    <t>무주택</t>
  </si>
  <si>
    <t>부양가족수</t>
  </si>
  <si>
    <t>가입년수</t>
  </si>
  <si>
    <t>SB-1</t>
  </si>
  <si>
    <t>서울특별시</t>
  </si>
  <si>
    <t>85㎡ 이하</t>
  </si>
  <si>
    <t>KY-2</t>
  </si>
  <si>
    <t>인천광역시</t>
  </si>
  <si>
    <t>135㎡ 이하</t>
  </si>
  <si>
    <t>KT-3</t>
  </si>
  <si>
    <t>안산시</t>
  </si>
  <si>
    <t>SB-4</t>
  </si>
  <si>
    <t>부산광역시</t>
  </si>
  <si>
    <t>SB-5</t>
  </si>
  <si>
    <t>102㎡ 이하</t>
  </si>
  <si>
    <t>KY-6</t>
  </si>
  <si>
    <t>대전광역시</t>
  </si>
  <si>
    <t>KY-7</t>
  </si>
  <si>
    <t>KT-8</t>
  </si>
  <si>
    <t>수원시</t>
  </si>
  <si>
    <t>KT-9</t>
  </si>
  <si>
    <t>KY-10</t>
  </si>
  <si>
    <t>울산광역시</t>
  </si>
  <si>
    <t>KT-11</t>
  </si>
  <si>
    <t>부천시</t>
  </si>
  <si>
    <t>SB-12</t>
  </si>
  <si>
    <t>135㎡ 초과</t>
  </si>
  <si>
    <t>KY-13</t>
  </si>
  <si>
    <t>SB-14</t>
  </si>
  <si>
    <t>KT-15</t>
  </si>
  <si>
    <t>SB-16</t>
  </si>
  <si>
    <t>SB-17</t>
  </si>
  <si>
    <t>KT-18</t>
  </si>
  <si>
    <t>안양시</t>
  </si>
  <si>
    <t>SB-19</t>
  </si>
  <si>
    <t>KY-20</t>
  </si>
  <si>
    <t>KT-21</t>
  </si>
  <si>
    <t>SB-22</t>
  </si>
  <si>
    <t>KY-23</t>
  </si>
  <si>
    <t>KT-24</t>
  </si>
  <si>
    <t>SB-25</t>
  </si>
  <si>
    <t>KY-26</t>
  </si>
  <si>
    <t>KY-27</t>
  </si>
  <si>
    <t>이름</t>
  </si>
  <si>
    <t>반-번호</t>
  </si>
  <si>
    <t>과목</t>
  </si>
  <si>
    <t>구분</t>
  </si>
  <si>
    <t>받은점수</t>
  </si>
  <si>
    <t>반영비율</t>
  </si>
  <si>
    <t>9-21</t>
  </si>
  <si>
    <t>국어</t>
  </si>
  <si>
    <t>지필</t>
  </si>
  <si>
    <t>중간고사</t>
  </si>
  <si>
    <t>과학</t>
  </si>
  <si>
    <t>수행</t>
  </si>
  <si>
    <t>실험</t>
  </si>
  <si>
    <t>사회</t>
  </si>
  <si>
    <t>발표</t>
  </si>
  <si>
    <t>포트폴리오</t>
  </si>
  <si>
    <t>12-19</t>
  </si>
  <si>
    <t>기말고사</t>
  </si>
  <si>
    <t>10-3</t>
  </si>
  <si>
    <t>7-29</t>
  </si>
  <si>
    <t>13-31</t>
  </si>
  <si>
    <t>강보람</t>
  </si>
  <si>
    <t>이우찬</t>
  </si>
  <si>
    <t>최성숙</t>
  </si>
  <si>
    <t>백윤진</t>
  </si>
  <si>
    <t>전경수</t>
  </si>
  <si>
    <t>(모두)</t>
  </si>
  <si>
    <t>합계 : 받은점수</t>
  </si>
  <si>
    <t>합계 : 반영점수</t>
  </si>
  <si>
    <t>합계 : 반영비율</t>
  </si>
  <si>
    <t>평균 : 청약가능액</t>
  </si>
  <si>
    <t>지역2</t>
  </si>
  <si>
    <t>기타광역시</t>
  </si>
  <si>
    <t>서울, 부산</t>
  </si>
  <si>
    <t>경기도</t>
  </si>
  <si>
    <t>2018년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</si>
</sst>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₩&quot;#,##0;[Red]\-&quot;₩&quot;#,##0"/>
    <numFmt numFmtId="41" formatCode="_-* #,##0_-;\-* #,##0_-;_-* &quot;-&quot;_-;_-@_-"/>
    <numFmt numFmtId="176" formatCode="0_);[Red]\(0\)"/>
    <numFmt numFmtId="177" formatCode="_-* #,##0.0_-;\-* #,##0.0_-;_-* &quot;-&quot;_-;_-@_-"/>
    <numFmt numFmtId="178" formatCode="0.0"/>
    <numFmt numFmtId="179" formatCode="&quot;₩&quot;#,##0_);[Red]\(&quot;₩&quot;#,##0\)"/>
    <numFmt numFmtId="180" formatCode="#&quot;년&quot;"/>
    <numFmt numFmtId="181" formatCode="0.0%"/>
    <numFmt numFmtId="182" formatCode="0_ "/>
  </numFmts>
  <fonts count="2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12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41" fontId="4" fillId="0" borderId="1" xfId="1" applyNumberFormat="1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176" fontId="4" fillId="0" borderId="1" xfId="1" applyNumberFormat="1" applyFont="1" applyBorder="1" applyAlignment="1">
      <alignment vertical="center"/>
    </xf>
    <xf numFmtId="41" fontId="4" fillId="0" borderId="1" xfId="3" applyNumberFormat="1" applyFont="1" applyBorder="1" applyAlignment="1">
      <alignment horizontal="center" vertical="center"/>
    </xf>
    <xf numFmtId="177" fontId="4" fillId="0" borderId="1" xfId="3" applyNumberFormat="1" applyFont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11" fillId="0" borderId="1" xfId="0" applyNumberFormat="1" applyFont="1" applyFill="1" applyBorder="1" applyAlignment="1">
      <alignment vertical="center"/>
    </xf>
    <xf numFmtId="0" fontId="11" fillId="2" borderId="1" xfId="0" applyNumberFormat="1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41" fontId="7" fillId="0" borderId="1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3" fontId="4" fillId="0" borderId="1" xfId="1" applyNumberFormat="1" applyFont="1" applyFill="1" applyBorder="1" applyAlignment="1">
      <alignment horizontal="center" vertical="center"/>
    </xf>
    <xf numFmtId="0" fontId="4" fillId="0" borderId="0" xfId="5" applyFont="1" applyAlignment="1">
      <alignment vertical="center"/>
    </xf>
    <xf numFmtId="0" fontId="4" fillId="0" borderId="0" xfId="6" applyFont="1" applyAlignment="1">
      <alignment vertical="center"/>
    </xf>
    <xf numFmtId="0" fontId="4" fillId="0" borderId="3" xfId="5" applyFont="1" applyBorder="1" applyAlignment="1">
      <alignment vertical="center"/>
    </xf>
    <xf numFmtId="0" fontId="13" fillId="0" borderId="4" xfId="5" applyFont="1" applyBorder="1" applyAlignment="1">
      <alignment vertical="center"/>
    </xf>
    <xf numFmtId="0" fontId="4" fillId="0" borderId="5" xfId="5" applyFont="1" applyBorder="1" applyAlignment="1">
      <alignment vertical="center"/>
    </xf>
    <xf numFmtId="179" fontId="13" fillId="0" borderId="6" xfId="5" applyNumberFormat="1" applyFont="1" applyBorder="1" applyAlignment="1">
      <alignment vertical="center"/>
    </xf>
    <xf numFmtId="0" fontId="4" fillId="0" borderId="0" xfId="6" applyFont="1" applyBorder="1" applyAlignment="1">
      <alignment vertical="center"/>
    </xf>
    <xf numFmtId="0" fontId="4" fillId="0" borderId="6" xfId="5" applyFont="1" applyBorder="1" applyAlignment="1">
      <alignment vertical="center"/>
    </xf>
    <xf numFmtId="0" fontId="4" fillId="0" borderId="7" xfId="5" applyFont="1" applyBorder="1" applyAlignment="1">
      <alignment vertical="center"/>
    </xf>
    <xf numFmtId="179" fontId="13" fillId="0" borderId="8" xfId="1" applyNumberFormat="1" applyFont="1" applyBorder="1" applyAlignment="1">
      <alignment vertical="center"/>
    </xf>
    <xf numFmtId="0" fontId="4" fillId="0" borderId="2" xfId="6" applyFont="1" applyBorder="1" applyAlignment="1">
      <alignment vertical="center"/>
    </xf>
    <xf numFmtId="179" fontId="13" fillId="0" borderId="8" xfId="5" applyNumberFormat="1" applyFont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79" fontId="13" fillId="0" borderId="0" xfId="5" applyNumberFormat="1" applyFont="1" applyAlignment="1">
      <alignment vertical="center"/>
    </xf>
    <xf numFmtId="179" fontId="13" fillId="0" borderId="1" xfId="5" applyNumberFormat="1" applyFont="1" applyFill="1" applyBorder="1" applyAlignment="1">
      <alignment vertical="center"/>
    </xf>
    <xf numFmtId="179" fontId="13" fillId="0" borderId="4" xfId="5" applyNumberFormat="1" applyFont="1" applyBorder="1" applyAlignment="1">
      <alignment vertical="center"/>
    </xf>
    <xf numFmtId="0" fontId="4" fillId="0" borderId="1" xfId="7" applyFont="1" applyBorder="1" applyAlignment="1">
      <alignment vertical="center"/>
    </xf>
    <xf numFmtId="0" fontId="4" fillId="0" borderId="0" xfId="7" applyFont="1" applyAlignment="1">
      <alignment vertical="center"/>
    </xf>
    <xf numFmtId="10" fontId="4" fillId="0" borderId="1" xfId="1" applyNumberFormat="1" applyFont="1" applyBorder="1" applyAlignment="1">
      <alignment vertical="center"/>
    </xf>
    <xf numFmtId="180" fontId="4" fillId="0" borderId="1" xfId="1" applyNumberFormat="1" applyFont="1" applyBorder="1" applyAlignment="1">
      <alignment vertical="center"/>
    </xf>
    <xf numFmtId="6" fontId="4" fillId="3" borderId="1" xfId="1" applyNumberFormat="1" applyFont="1" applyFill="1" applyBorder="1" applyAlignment="1">
      <alignment vertical="center"/>
    </xf>
    <xf numFmtId="41" fontId="4" fillId="0" borderId="0" xfId="1" applyFont="1" applyAlignment="1">
      <alignment vertical="center"/>
    </xf>
    <xf numFmtId="6" fontId="4" fillId="0" borderId="1" xfId="1" applyNumberFormat="1" applyFont="1" applyBorder="1" applyAlignment="1">
      <alignment vertical="center"/>
    </xf>
    <xf numFmtId="180" fontId="4" fillId="0" borderId="1" xfId="7" applyNumberFormat="1" applyFont="1" applyBorder="1" applyAlignment="1">
      <alignment horizontal="center" vertical="center"/>
    </xf>
    <xf numFmtId="181" fontId="4" fillId="0" borderId="1" xfId="2" applyNumberFormat="1" applyFont="1" applyBorder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0" fontId="4" fillId="0" borderId="1" xfId="8" applyFont="1" applyFill="1" applyBorder="1" applyAlignment="1">
      <alignment horizontal="center" vertical="center"/>
    </xf>
    <xf numFmtId="0" fontId="4" fillId="2" borderId="1" xfId="8" applyFont="1" applyFill="1" applyBorder="1" applyAlignment="1">
      <alignment horizontal="center" vertical="center"/>
    </xf>
    <xf numFmtId="0" fontId="4" fillId="0" borderId="1" xfId="8" applyNumberFormat="1" applyFont="1" applyBorder="1" applyAlignment="1">
      <alignment horizontal="center" vertical="center"/>
    </xf>
    <xf numFmtId="0" fontId="4" fillId="2" borderId="1" xfId="8" applyFont="1" applyFill="1" applyBorder="1" applyAlignment="1">
      <alignment vertical="center"/>
    </xf>
    <xf numFmtId="0" fontId="7" fillId="0" borderId="11" xfId="0" applyFont="1" applyBorder="1" applyAlignment="1">
      <alignment vertical="center"/>
    </xf>
    <xf numFmtId="3" fontId="7" fillId="0" borderId="12" xfId="0" applyNumberFormat="1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3" fontId="7" fillId="0" borderId="14" xfId="0" applyNumberFormat="1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181" fontId="7" fillId="0" borderId="16" xfId="0" applyNumberFormat="1" applyFont="1" applyFill="1" applyBorder="1" applyAlignment="1">
      <alignment vertical="center"/>
    </xf>
    <xf numFmtId="41" fontId="4" fillId="2" borderId="16" xfId="1" applyFont="1" applyFill="1" applyBorder="1" applyAlignment="1">
      <alignment vertical="center"/>
    </xf>
    <xf numFmtId="0" fontId="7" fillId="0" borderId="17" xfId="0" applyFont="1" applyBorder="1" applyAlignment="1">
      <alignment vertical="center"/>
    </xf>
    <xf numFmtId="41" fontId="7" fillId="0" borderId="18" xfId="0" applyNumberFormat="1" applyFont="1" applyBorder="1" applyAlignment="1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9" fontId="0" fillId="0" borderId="1" xfId="0" applyNumberFormat="1" applyBorder="1">
      <alignment vertical="center"/>
    </xf>
    <xf numFmtId="0" fontId="5" fillId="0" borderId="0" xfId="9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1" xfId="9" applyFont="1" applyBorder="1" applyAlignment="1">
      <alignment vertical="center"/>
    </xf>
    <xf numFmtId="0" fontId="5" fillId="0" borderId="0" xfId="10" applyFont="1" applyAlignment="1">
      <alignment vertical="center"/>
    </xf>
    <xf numFmtId="0" fontId="4" fillId="0" borderId="0" xfId="10" applyFont="1" applyAlignment="1">
      <alignment vertical="center"/>
    </xf>
    <xf numFmtId="14" fontId="4" fillId="0" borderId="0" xfId="10" applyNumberFormat="1" applyFont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41" fontId="4" fillId="0" borderId="1" xfId="1" applyNumberFormat="1" applyFont="1" applyBorder="1" applyAlignment="1">
      <alignment horizontal="center" vertical="center"/>
    </xf>
    <xf numFmtId="0" fontId="14" fillId="0" borderId="1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41" fontId="7" fillId="0" borderId="0" xfId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178" fontId="7" fillId="0" borderId="0" xfId="0" applyNumberFormat="1" applyFont="1" applyBorder="1" applyAlignment="1">
      <alignment horizontal="center" vertical="center"/>
    </xf>
    <xf numFmtId="3" fontId="4" fillId="0" borderId="0" xfId="1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9" fontId="0" fillId="0" borderId="20" xfId="0" applyNumberFormat="1" applyFill="1" applyBorder="1" applyAlignment="1">
      <alignment vertical="center"/>
    </xf>
    <xf numFmtId="0" fontId="16" fillId="5" borderId="2" xfId="0" applyFont="1" applyFill="1" applyBorder="1" applyAlignment="1">
      <alignment horizontal="left" vertical="center"/>
    </xf>
    <xf numFmtId="0" fontId="15" fillId="5" borderId="19" xfId="0" applyFont="1" applyFill="1" applyBorder="1" applyAlignment="1">
      <alignment horizontal="left" vertical="center"/>
    </xf>
    <xf numFmtId="0" fontId="16" fillId="5" borderId="19" xfId="0" applyFont="1" applyFill="1" applyBorder="1" applyAlignment="1">
      <alignment horizontal="left" vertical="center"/>
    </xf>
    <xf numFmtId="0" fontId="0" fillId="0" borderId="21" xfId="0" applyFill="1" applyBorder="1" applyAlignment="1">
      <alignment vertical="center"/>
    </xf>
    <xf numFmtId="0" fontId="17" fillId="6" borderId="0" xfId="0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left" vertical="center"/>
    </xf>
    <xf numFmtId="0" fontId="19" fillId="6" borderId="21" xfId="0" applyFont="1" applyFill="1" applyBorder="1" applyAlignment="1">
      <alignment horizontal="left" vertical="center"/>
    </xf>
    <xf numFmtId="0" fontId="17" fillId="6" borderId="20" xfId="0" applyFont="1" applyFill="1" applyBorder="1" applyAlignment="1">
      <alignment horizontal="left" vertical="center"/>
    </xf>
    <xf numFmtId="0" fontId="15" fillId="5" borderId="19" xfId="0" applyFont="1" applyFill="1" applyBorder="1" applyAlignment="1">
      <alignment horizontal="right" vertical="center"/>
    </xf>
    <xf numFmtId="0" fontId="15" fillId="5" borderId="2" xfId="0" applyFont="1" applyFill="1" applyBorder="1" applyAlignment="1">
      <alignment horizontal="right" vertical="center"/>
    </xf>
    <xf numFmtId="0" fontId="0" fillId="7" borderId="0" xfId="0" applyFill="1" applyBorder="1" applyAlignment="1">
      <alignment vertical="center"/>
    </xf>
    <xf numFmtId="0" fontId="20" fillId="0" borderId="0" xfId="0" applyFont="1" applyFill="1" applyBorder="1" applyAlignment="1">
      <alignment vertical="top" wrapText="1"/>
    </xf>
    <xf numFmtId="9" fontId="4" fillId="0" borderId="1" xfId="2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8" fillId="0" borderId="2" xfId="3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1" fillId="2" borderId="1" xfId="0" applyNumberFormat="1" applyFont="1" applyFill="1" applyBorder="1" applyAlignment="1">
      <alignment horizontal="center" vertical="center"/>
    </xf>
    <xf numFmtId="0" fontId="9" fillId="0" borderId="0" xfId="4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5" applyFont="1" applyBorder="1" applyAlignment="1">
      <alignment horizontal="center" vertical="center"/>
    </xf>
    <xf numFmtId="0" fontId="4" fillId="0" borderId="1" xfId="6" applyFont="1" applyBorder="1" applyAlignment="1">
      <alignment horizontal="center" vertical="center" wrapText="1"/>
    </xf>
    <xf numFmtId="0" fontId="4" fillId="0" borderId="1" xfId="6" applyFont="1" applyBorder="1" applyAlignment="1">
      <alignment horizontal="center" vertical="center"/>
    </xf>
    <xf numFmtId="0" fontId="4" fillId="0" borderId="2" xfId="7" applyFont="1" applyBorder="1" applyAlignment="1">
      <alignment horizontal="center" vertical="center"/>
    </xf>
    <xf numFmtId="0" fontId="4" fillId="0" borderId="6" xfId="7" applyFont="1" applyBorder="1" applyAlignment="1">
      <alignment horizontal="center" vertical="center" textRotation="255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1">
    <cellStyle name="백분율" xfId="2" builtinId="5"/>
    <cellStyle name="쉼표 [0]" xfId="1" builtinId="6"/>
    <cellStyle name="표준" xfId="0" builtinId="0"/>
    <cellStyle name="표준_Book1" xfId="9"/>
    <cellStyle name="표준_Sheet1" xfId="7"/>
    <cellStyle name="표준_Sheet3" xfId="8"/>
    <cellStyle name="표준_기본작업-3" xfId="3"/>
    <cellStyle name="표준_기본작업-3_기본작업" xfId="4"/>
    <cellStyle name="표준_기초다지기1회" xfId="10"/>
    <cellStyle name="표준_분석작업" xfId="5"/>
    <cellStyle name="표준_상공회의소문제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85㎡ 이하</c:v>
          </c:tx>
          <c:invertIfNegative val="0"/>
          <c:cat>
            <c:strLit>
              <c:ptCount val="9"/>
              <c:pt idx="0">
                <c:v>기타광역시 대전광역시</c:v>
              </c:pt>
              <c:pt idx="1">
                <c:v>기타광역시 울산광역시</c:v>
              </c:pt>
              <c:pt idx="2">
                <c:v>기타광역시 인천광역시</c:v>
              </c:pt>
              <c:pt idx="3">
                <c:v>서울, 부산 부산광역시</c:v>
              </c:pt>
              <c:pt idx="4">
                <c:v>서울, 부산 서울특별시</c:v>
              </c:pt>
              <c:pt idx="5">
                <c:v>경기도 부천시</c:v>
              </c:pt>
              <c:pt idx="6">
                <c:v>경기도 수원시</c:v>
              </c:pt>
              <c:pt idx="7">
                <c:v>경기도 안산시</c:v>
              </c:pt>
              <c:pt idx="8">
                <c:v>경기도 안양시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250</c:v>
              </c:pt>
              <c:pt idx="2">
                <c:v>250</c:v>
              </c:pt>
              <c:pt idx="3">
                <c:v>0</c:v>
              </c:pt>
              <c:pt idx="4">
                <c:v>300</c:v>
              </c:pt>
              <c:pt idx="5">
                <c:v>200</c:v>
              </c:pt>
              <c:pt idx="6">
                <c:v>200</c:v>
              </c:pt>
              <c:pt idx="7">
                <c:v>200</c:v>
              </c:pt>
              <c:pt idx="8">
                <c:v>0</c:v>
              </c:pt>
            </c:numLit>
          </c:val>
        </c:ser>
        <c:ser>
          <c:idx val="1"/>
          <c:order val="1"/>
          <c:tx>
            <c:v>102㎡ 이하</c:v>
          </c:tx>
          <c:invertIfNegative val="0"/>
          <c:cat>
            <c:strLit>
              <c:ptCount val="9"/>
              <c:pt idx="0">
                <c:v>기타광역시 대전광역시</c:v>
              </c:pt>
              <c:pt idx="1">
                <c:v>기타광역시 울산광역시</c:v>
              </c:pt>
              <c:pt idx="2">
                <c:v>기타광역시 인천광역시</c:v>
              </c:pt>
              <c:pt idx="3">
                <c:v>서울, 부산 부산광역시</c:v>
              </c:pt>
              <c:pt idx="4">
                <c:v>서울, 부산 서울특별시</c:v>
              </c:pt>
              <c:pt idx="5">
                <c:v>경기도 부천시</c:v>
              </c:pt>
              <c:pt idx="6">
                <c:v>경기도 수원시</c:v>
              </c:pt>
              <c:pt idx="7">
                <c:v>경기도 안산시</c:v>
              </c:pt>
              <c:pt idx="8">
                <c:v>경기도 안양시</c:v>
              </c:pt>
            </c:strLit>
          </c:cat>
          <c:val>
            <c:numLit>
              <c:formatCode>General</c:formatCode>
              <c:ptCount val="9"/>
              <c:pt idx="0">
                <c:v>400</c:v>
              </c:pt>
              <c:pt idx="1">
                <c:v>0</c:v>
              </c:pt>
              <c:pt idx="2">
                <c:v>400</c:v>
              </c:pt>
              <c:pt idx="3">
                <c:v>600</c:v>
              </c:pt>
              <c:pt idx="4">
                <c:v>600</c:v>
              </c:pt>
              <c:pt idx="5">
                <c:v>300</c:v>
              </c:pt>
              <c:pt idx="6">
                <c:v>300</c:v>
              </c:pt>
              <c:pt idx="7">
                <c:v>0</c:v>
              </c:pt>
              <c:pt idx="8">
                <c:v>0</c:v>
              </c:pt>
            </c:numLit>
          </c:val>
        </c:ser>
        <c:ser>
          <c:idx val="2"/>
          <c:order val="2"/>
          <c:tx>
            <c:v>135㎡ 이하</c:v>
          </c:tx>
          <c:invertIfNegative val="0"/>
          <c:cat>
            <c:strLit>
              <c:ptCount val="9"/>
              <c:pt idx="0">
                <c:v>기타광역시 대전광역시</c:v>
              </c:pt>
              <c:pt idx="1">
                <c:v>기타광역시 울산광역시</c:v>
              </c:pt>
              <c:pt idx="2">
                <c:v>기타광역시 인천광역시</c:v>
              </c:pt>
              <c:pt idx="3">
                <c:v>서울, 부산 부산광역시</c:v>
              </c:pt>
              <c:pt idx="4">
                <c:v>서울, 부산 서울특별시</c:v>
              </c:pt>
              <c:pt idx="5">
                <c:v>경기도 부천시</c:v>
              </c:pt>
              <c:pt idx="6">
                <c:v>경기도 수원시</c:v>
              </c:pt>
              <c:pt idx="7">
                <c:v>경기도 안산시</c:v>
              </c:pt>
              <c:pt idx="8">
                <c:v>경기도 안양시</c:v>
              </c:pt>
            </c:strLit>
          </c:cat>
          <c:val>
            <c:numLit>
              <c:formatCode>General</c:formatCode>
              <c:ptCount val="9"/>
              <c:pt idx="0">
                <c:v>700</c:v>
              </c:pt>
              <c:pt idx="1">
                <c:v>0</c:v>
              </c:pt>
              <c:pt idx="2">
                <c:v>700</c:v>
              </c:pt>
              <c:pt idx="3">
                <c:v>1000</c:v>
              </c:pt>
              <c:pt idx="4">
                <c:v>1000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400</c:v>
              </c:pt>
            </c:numLit>
          </c:val>
        </c:ser>
        <c:ser>
          <c:idx val="3"/>
          <c:order val="3"/>
          <c:tx>
            <c:v>135㎡ 초과</c:v>
          </c:tx>
          <c:invertIfNegative val="0"/>
          <c:cat>
            <c:strLit>
              <c:ptCount val="9"/>
              <c:pt idx="0">
                <c:v>기타광역시 대전광역시</c:v>
              </c:pt>
              <c:pt idx="1">
                <c:v>기타광역시 울산광역시</c:v>
              </c:pt>
              <c:pt idx="2">
                <c:v>기타광역시 인천광역시</c:v>
              </c:pt>
              <c:pt idx="3">
                <c:v>서울, 부산 부산광역시</c:v>
              </c:pt>
              <c:pt idx="4">
                <c:v>서울, 부산 서울특별시</c:v>
              </c:pt>
              <c:pt idx="5">
                <c:v>경기도 부천시</c:v>
              </c:pt>
              <c:pt idx="6">
                <c:v>경기도 수원시</c:v>
              </c:pt>
              <c:pt idx="7">
                <c:v>경기도 안산시</c:v>
              </c:pt>
              <c:pt idx="8">
                <c:v>경기도 안양시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1500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183872"/>
        <c:axId val="105456000"/>
      </c:barChart>
      <c:catAx>
        <c:axId val="105183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5456000"/>
        <c:crosses val="autoZero"/>
        <c:auto val="1"/>
        <c:lblAlgn val="ctr"/>
        <c:lblOffset val="100"/>
        <c:noMultiLvlLbl val="0"/>
      </c:catAx>
      <c:valAx>
        <c:axId val="10545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18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extLst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5"/>
  <sheetViews>
    <sheetView zoomScale="8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애니메이션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강동지점정답" textlink="">
      <xdr:nvSpPr>
        <xdr:cNvPr id="2" name="직사각형 1"/>
        <xdr:cNvSpPr/>
      </xdr:nvSpPr>
      <xdr:spPr>
        <a:xfrm>
          <a:off x="200025" y="209550"/>
          <a:ext cx="11811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400">
              <a:latin typeface="굴림체" pitchFamily="49" charset="-127"/>
              <a:ea typeface="굴림체" pitchFamily="49" charset="-127"/>
            </a:rPr>
            <a:t>강동지점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gistered User" refreshedDate="42944.334697337959" createdVersion="4" refreshedVersion="4" minRefreshableVersion="3" recordCount="29">
  <cacheSource type="worksheet">
    <worksheetSource ref="A1:H30" sheet="피벗1(결과)"/>
  </cacheSource>
  <cacheFields count="9">
    <cacheField name="이름" numFmtId="0">
      <sharedItems count="5">
        <s v="강보람"/>
        <s v="이우찬"/>
        <s v="최성숙"/>
        <s v="전경수"/>
        <s v="백윤진"/>
      </sharedItems>
    </cacheField>
    <cacheField name="성별" numFmtId="0">
      <sharedItems/>
    </cacheField>
    <cacheField name="반-번호" numFmtId="0">
      <sharedItems/>
    </cacheField>
    <cacheField name="과목" numFmtId="0">
      <sharedItems count="3">
        <s v="국어"/>
        <s v="과학"/>
        <s v="사회"/>
      </sharedItems>
    </cacheField>
    <cacheField name="구분" numFmtId="0">
      <sharedItems count="2">
        <s v="지필"/>
        <s v="수행"/>
      </sharedItems>
    </cacheField>
    <cacheField name="항목" numFmtId="0">
      <sharedItems count="5">
        <s v="중간고사"/>
        <s v="실험"/>
        <s v="발표"/>
        <s v="포트폴리오"/>
        <s v="기말고사"/>
      </sharedItems>
    </cacheField>
    <cacheField name="받은점수" numFmtId="0">
      <sharedItems containsSemiMixedTypes="0" containsString="0" containsNumber="1" containsInteger="1" minValue="64" maxValue="100"/>
    </cacheField>
    <cacheField name="반영비율" numFmtId="9">
      <sharedItems containsSemiMixedTypes="0" containsString="0" containsNumber="1" minValue="0.10000000149011612" maxValue="0.34999999403953552"/>
    </cacheField>
    <cacheField name="반영점수" numFmtId="0" formula="받은점수*반영비율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gistered User" refreshedDate="43010.80623321759" createdVersion="4" refreshedVersion="4" minRefreshableVersion="3" recordCount="27">
  <cacheSource type="worksheet">
    <worksheetSource ref="A1:H28" sheet="피벗2(결과)"/>
  </cacheSource>
  <cacheFields count="9">
    <cacheField name="번호" numFmtId="0">
      <sharedItems/>
    </cacheField>
    <cacheField name="지역" numFmtId="0">
      <sharedItems count="9">
        <s v="서울특별시"/>
        <s v="인천광역시"/>
        <s v="안산시"/>
        <s v="부산광역시"/>
        <s v="대전광역시"/>
        <s v="수원시"/>
        <s v="울산광역시"/>
        <s v="부천시"/>
        <s v="안양시"/>
      </sharedItems>
      <fieldGroup par="8"/>
    </cacheField>
    <cacheField name="전용면적" numFmtId="0">
      <sharedItems count="4">
        <s v="85㎡ 이하"/>
        <s v="135㎡ 이하"/>
        <s v="102㎡ 이하"/>
        <s v="135㎡ 초과"/>
      </sharedItems>
    </cacheField>
    <cacheField name="청약가능액" numFmtId="0">
      <sharedItems containsSemiMixedTypes="0" containsString="0" containsNumber="1" containsInteger="1" minValue="200" maxValue="1500"/>
    </cacheField>
    <cacheField name="현재예치금" numFmtId="0">
      <sharedItems containsSemiMixedTypes="0" containsString="0" containsNumber="1" containsInteger="1" minValue="100" maxValue="2000"/>
    </cacheField>
    <cacheField name="무주택" numFmtId="0">
      <sharedItems containsSemiMixedTypes="0" containsString="0" containsNumber="1" containsInteger="1" minValue="1" maxValue="20"/>
    </cacheField>
    <cacheField name="부양가족수" numFmtId="0">
      <sharedItems containsSemiMixedTypes="0" containsString="0" containsNumber="1" containsInteger="1" minValue="1" maxValue="5"/>
    </cacheField>
    <cacheField name="가입년수" numFmtId="0">
      <sharedItems containsSemiMixedTypes="0" containsString="0" containsNumber="1" containsInteger="1" minValue="1" maxValue="13"/>
    </cacheField>
    <cacheField name="지역2" numFmtId="0" databaseField="0">
      <fieldGroup base="1">
        <discretePr count="9">
          <x v="0"/>
          <x v="2"/>
          <x v="1"/>
          <x v="0"/>
          <x v="2"/>
          <x v="1"/>
          <x v="2"/>
          <x v="1"/>
          <x v="1"/>
        </discretePr>
        <groupItems count="3">
          <s v="그룹1"/>
          <s v="그룹2"/>
          <s v="그룹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s v="여"/>
    <s v="9-21"/>
    <x v="0"/>
    <x v="0"/>
    <x v="0"/>
    <n v="100"/>
    <n v="0.34999999403953552"/>
  </r>
  <r>
    <x v="0"/>
    <s v="여"/>
    <s v="9-21"/>
    <x v="1"/>
    <x v="1"/>
    <x v="1"/>
    <n v="64"/>
    <n v="0.30000001192092896"/>
  </r>
  <r>
    <x v="0"/>
    <s v="여"/>
    <s v="9-21"/>
    <x v="2"/>
    <x v="1"/>
    <x v="2"/>
    <n v="76"/>
    <n v="0.20000000298023224"/>
  </r>
  <r>
    <x v="0"/>
    <s v="여"/>
    <s v="9-21"/>
    <x v="0"/>
    <x v="1"/>
    <x v="3"/>
    <n v="92"/>
    <n v="0.20000000298023224"/>
  </r>
  <r>
    <x v="0"/>
    <s v="여"/>
    <s v="9-21"/>
    <x v="2"/>
    <x v="0"/>
    <x v="0"/>
    <n v="96"/>
    <n v="0.20000000298023224"/>
  </r>
  <r>
    <x v="1"/>
    <s v="남"/>
    <s v="12-19"/>
    <x v="1"/>
    <x v="0"/>
    <x v="4"/>
    <n v="84"/>
    <n v="0.30000001192092896"/>
  </r>
  <r>
    <x v="1"/>
    <s v="남"/>
    <s v="12-19"/>
    <x v="1"/>
    <x v="1"/>
    <x v="1"/>
    <n v="100"/>
    <n v="0.30000001192092896"/>
  </r>
  <r>
    <x v="1"/>
    <s v="남"/>
    <s v="12-19"/>
    <x v="2"/>
    <x v="1"/>
    <x v="2"/>
    <n v="96"/>
    <n v="0.20000000298023224"/>
  </r>
  <r>
    <x v="1"/>
    <s v="남"/>
    <s v="12-19"/>
    <x v="2"/>
    <x v="1"/>
    <x v="3"/>
    <n v="80"/>
    <n v="0.10000000149011612"/>
  </r>
  <r>
    <x v="1"/>
    <s v="남"/>
    <s v="12-19"/>
    <x v="0"/>
    <x v="0"/>
    <x v="0"/>
    <n v="88"/>
    <n v="0.34999999403953552"/>
  </r>
  <r>
    <x v="1"/>
    <s v="남"/>
    <s v="12-19"/>
    <x v="2"/>
    <x v="0"/>
    <x v="0"/>
    <n v="92"/>
    <n v="0.30000001192092896"/>
  </r>
  <r>
    <x v="2"/>
    <s v="남"/>
    <s v="10-3"/>
    <x v="0"/>
    <x v="0"/>
    <x v="4"/>
    <n v="88"/>
    <n v="0.34999999403953552"/>
  </r>
  <r>
    <x v="2"/>
    <s v="남"/>
    <s v="10-3"/>
    <x v="1"/>
    <x v="1"/>
    <x v="2"/>
    <n v="72"/>
    <n v="0.10000000149011612"/>
  </r>
  <r>
    <x v="2"/>
    <s v="남"/>
    <s v="10-3"/>
    <x v="2"/>
    <x v="1"/>
    <x v="3"/>
    <n v="68"/>
    <n v="0.20000000298023224"/>
  </r>
  <r>
    <x v="2"/>
    <s v="남"/>
    <s v="10-3"/>
    <x v="1"/>
    <x v="1"/>
    <x v="1"/>
    <n v="88"/>
    <n v="0.30000001192092896"/>
  </r>
  <r>
    <x v="2"/>
    <s v="남"/>
    <s v="10-3"/>
    <x v="0"/>
    <x v="1"/>
    <x v="2"/>
    <n v="64"/>
    <n v="0.10000000149011612"/>
  </r>
  <r>
    <x v="2"/>
    <s v="남"/>
    <s v="10-3"/>
    <x v="2"/>
    <x v="0"/>
    <x v="0"/>
    <n v="84"/>
    <n v="0.30000001192092896"/>
  </r>
  <r>
    <x v="3"/>
    <s v="남"/>
    <s v="7-29"/>
    <x v="2"/>
    <x v="0"/>
    <x v="4"/>
    <n v="88"/>
    <n v="0.30000001192092896"/>
  </r>
  <r>
    <x v="3"/>
    <s v="남"/>
    <s v="7-29"/>
    <x v="1"/>
    <x v="0"/>
    <x v="0"/>
    <n v="72"/>
    <n v="0.30000001192092896"/>
  </r>
  <r>
    <x v="3"/>
    <s v="남"/>
    <s v="7-29"/>
    <x v="0"/>
    <x v="1"/>
    <x v="2"/>
    <n v="92"/>
    <n v="0.10000000149011612"/>
  </r>
  <r>
    <x v="3"/>
    <s v="남"/>
    <s v="7-29"/>
    <x v="0"/>
    <x v="0"/>
    <x v="4"/>
    <n v="100"/>
    <n v="0.34999999403953552"/>
  </r>
  <r>
    <x v="3"/>
    <s v="남"/>
    <s v="7-29"/>
    <x v="1"/>
    <x v="1"/>
    <x v="1"/>
    <n v="64"/>
    <n v="0.30000001192092896"/>
  </r>
  <r>
    <x v="3"/>
    <s v="남"/>
    <s v="7-29"/>
    <x v="2"/>
    <x v="1"/>
    <x v="3"/>
    <n v="88"/>
    <n v="0.20000000298023224"/>
  </r>
  <r>
    <x v="4"/>
    <s v="여"/>
    <s v="13-31"/>
    <x v="0"/>
    <x v="1"/>
    <x v="2"/>
    <n v="100"/>
    <n v="0.20000000298023224"/>
  </r>
  <r>
    <x v="4"/>
    <s v="여"/>
    <s v="13-31"/>
    <x v="1"/>
    <x v="0"/>
    <x v="0"/>
    <n v="80"/>
    <n v="0.30000001192092896"/>
  </r>
  <r>
    <x v="4"/>
    <s v="여"/>
    <s v="13-31"/>
    <x v="2"/>
    <x v="1"/>
    <x v="3"/>
    <n v="72"/>
    <n v="0.20000000298023224"/>
  </r>
  <r>
    <x v="4"/>
    <s v="여"/>
    <s v="13-31"/>
    <x v="1"/>
    <x v="1"/>
    <x v="1"/>
    <n v="92"/>
    <n v="0.30000001192092896"/>
  </r>
  <r>
    <x v="4"/>
    <s v="여"/>
    <s v="13-31"/>
    <x v="2"/>
    <x v="0"/>
    <x v="4"/>
    <n v="72"/>
    <n v="0.30000001192092896"/>
  </r>
  <r>
    <x v="4"/>
    <s v="여"/>
    <s v="13-31"/>
    <x v="0"/>
    <x v="1"/>
    <x v="3"/>
    <n v="100"/>
    <n v="0.200000002980232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">
  <r>
    <s v="SB-1"/>
    <x v="0"/>
    <x v="0"/>
    <n v="300"/>
    <n v="250"/>
    <n v="5"/>
    <n v="2"/>
    <n v="3"/>
  </r>
  <r>
    <s v="KY-2"/>
    <x v="1"/>
    <x v="1"/>
    <n v="700"/>
    <n v="800"/>
    <n v="10"/>
    <n v="5"/>
    <n v="13"/>
  </r>
  <r>
    <s v="KT-3"/>
    <x v="2"/>
    <x v="0"/>
    <n v="200"/>
    <n v="200"/>
    <n v="3"/>
    <n v="4"/>
    <n v="5"/>
  </r>
  <r>
    <s v="SB-4"/>
    <x v="3"/>
    <x v="1"/>
    <n v="1000"/>
    <n v="1500"/>
    <n v="20"/>
    <n v="5"/>
    <n v="12"/>
  </r>
  <r>
    <s v="SB-5"/>
    <x v="0"/>
    <x v="2"/>
    <n v="600"/>
    <n v="550"/>
    <n v="8"/>
    <n v="2"/>
    <n v="5"/>
  </r>
  <r>
    <s v="KY-6"/>
    <x v="4"/>
    <x v="2"/>
    <n v="400"/>
    <n v="400"/>
    <n v="13"/>
    <n v="1"/>
    <n v="3"/>
  </r>
  <r>
    <s v="KY-7"/>
    <x v="1"/>
    <x v="0"/>
    <n v="250"/>
    <n v="300"/>
    <n v="5"/>
    <n v="2"/>
    <n v="5"/>
  </r>
  <r>
    <s v="KT-8"/>
    <x v="5"/>
    <x v="2"/>
    <n v="300"/>
    <n v="250"/>
    <n v="9"/>
    <n v="3"/>
    <n v="5"/>
  </r>
  <r>
    <s v="KT-9"/>
    <x v="2"/>
    <x v="0"/>
    <n v="200"/>
    <n v="350"/>
    <n v="4"/>
    <n v="4"/>
    <n v="12"/>
  </r>
  <r>
    <s v="KY-10"/>
    <x v="6"/>
    <x v="0"/>
    <n v="250"/>
    <n v="300"/>
    <n v="3"/>
    <n v="2"/>
    <n v="5"/>
  </r>
  <r>
    <s v="KT-11"/>
    <x v="7"/>
    <x v="0"/>
    <n v="200"/>
    <n v="100"/>
    <n v="12"/>
    <n v="1"/>
    <n v="2"/>
  </r>
  <r>
    <s v="SB-12"/>
    <x v="0"/>
    <x v="3"/>
    <n v="1500"/>
    <n v="2000"/>
    <n v="16"/>
    <n v="3"/>
    <n v="5"/>
  </r>
  <r>
    <s v="KY-13"/>
    <x v="4"/>
    <x v="1"/>
    <n v="700"/>
    <n v="500"/>
    <n v="20"/>
    <n v="2"/>
    <n v="5"/>
  </r>
  <r>
    <s v="SB-14"/>
    <x v="3"/>
    <x v="1"/>
    <n v="1000"/>
    <n v="800"/>
    <n v="8"/>
    <n v="2"/>
    <n v="10"/>
  </r>
  <r>
    <s v="KT-15"/>
    <x v="7"/>
    <x v="2"/>
    <n v="300"/>
    <n v="250"/>
    <n v="9"/>
    <n v="1"/>
    <n v="8"/>
  </r>
  <r>
    <s v="SB-16"/>
    <x v="0"/>
    <x v="0"/>
    <n v="300"/>
    <n v="450"/>
    <n v="2"/>
    <n v="5"/>
    <n v="3"/>
  </r>
  <r>
    <s v="SB-17"/>
    <x v="0"/>
    <x v="1"/>
    <n v="1000"/>
    <n v="1500"/>
    <n v="20"/>
    <n v="3"/>
    <n v="11"/>
  </r>
  <r>
    <s v="KT-18"/>
    <x v="8"/>
    <x v="1"/>
    <n v="400"/>
    <n v="500"/>
    <n v="9"/>
    <n v="2"/>
    <n v="5"/>
  </r>
  <r>
    <s v="SB-19"/>
    <x v="3"/>
    <x v="2"/>
    <n v="600"/>
    <n v="500"/>
    <n v="11"/>
    <n v="5"/>
    <n v="13"/>
  </r>
  <r>
    <s v="KY-20"/>
    <x v="1"/>
    <x v="2"/>
    <n v="400"/>
    <n v="300"/>
    <n v="5"/>
    <n v="1"/>
    <n v="6"/>
  </r>
  <r>
    <s v="KT-21"/>
    <x v="2"/>
    <x v="0"/>
    <n v="200"/>
    <n v="350"/>
    <n v="7"/>
    <n v="3"/>
    <n v="5"/>
  </r>
  <r>
    <s v="SB-22"/>
    <x v="3"/>
    <x v="1"/>
    <n v="1000"/>
    <n v="1200"/>
    <n v="6"/>
    <n v="4"/>
    <n v="8"/>
  </r>
  <r>
    <s v="KY-23"/>
    <x v="1"/>
    <x v="1"/>
    <n v="700"/>
    <n v="800"/>
    <n v="5"/>
    <n v="2"/>
    <n v="1"/>
  </r>
  <r>
    <s v="KT-24"/>
    <x v="5"/>
    <x v="0"/>
    <n v="200"/>
    <n v="300"/>
    <n v="13"/>
    <n v="2"/>
    <n v="2"/>
  </r>
  <r>
    <s v="SB-25"/>
    <x v="0"/>
    <x v="2"/>
    <n v="600"/>
    <n v="500"/>
    <n v="1"/>
    <n v="1"/>
    <n v="5"/>
  </r>
  <r>
    <s v="KY-26"/>
    <x v="6"/>
    <x v="0"/>
    <n v="250"/>
    <n v="300"/>
    <n v="12"/>
    <n v="3"/>
    <n v="9"/>
  </r>
  <r>
    <s v="KY-27"/>
    <x v="4"/>
    <x v="1"/>
    <n v="700"/>
    <n v="600"/>
    <n v="9"/>
    <n v="2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4" minRefreshableVersion="3" useAutoFormatting="1" colGrandTotals="0" itemPrintTitles="1" createdVersion="4" indent="0" compact="0" outline="1" outlineData="1" compactData="0" multipleFieldFilters="0" chartFormat="2">
  <location ref="J3:Q21" firstHeaderRow="1" firstDataRow="3" firstDataCol="2" rowPageCount="1" colPageCount="1"/>
  <pivotFields count="9">
    <pivotField axis="axisPage" compact="0" showAll="0">
      <items count="6">
        <item x="0"/>
        <item x="4"/>
        <item x="1"/>
        <item x="3"/>
        <item x="2"/>
        <item t="default"/>
      </items>
    </pivotField>
    <pivotField compact="0" showAll="0"/>
    <pivotField compact="0" showAll="0"/>
    <pivotField axis="axisRow" compact="0" showAll="0">
      <items count="4">
        <item x="1"/>
        <item x="0"/>
        <item x="2"/>
        <item t="default"/>
      </items>
    </pivotField>
    <pivotField axis="axisCol" compact="0" showAll="0">
      <items count="3">
        <item x="1"/>
        <item x="0"/>
        <item t="default"/>
      </items>
    </pivotField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/>
    <pivotField dataField="1" compact="0" numFmtId="9" showAll="0"/>
    <pivotField dataField="1" compact="0" dragToRow="0" dragToCol="0" dragToPage="0" showAll="0" defaultSubtotal="0"/>
  </pivotFields>
  <rowFields count="2">
    <field x="3"/>
    <field x="5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2">
    <field x="4"/>
    <field x="-2"/>
  </colFields>
  <colItems count="6">
    <i>
      <x/>
      <x/>
    </i>
    <i r="1" i="1">
      <x v="1"/>
    </i>
    <i r="1" i="2">
      <x v="2"/>
    </i>
    <i>
      <x v="1"/>
      <x/>
    </i>
    <i r="1" i="1">
      <x v="1"/>
    </i>
    <i r="1" i="2">
      <x v="2"/>
    </i>
  </colItems>
  <pageFields count="1">
    <pageField fld="0" hier="-1"/>
  </pageFields>
  <dataFields count="3">
    <dataField name="합계 : 받은점수" fld="6" baseField="0" baseItem="0"/>
    <dataField name="합계 : 반영비율" fld="7" baseField="3" baseItem="0" numFmtId="9"/>
    <dataField name="합계 : 반영점수" fld="8" baseField="3" baseItem="0" numFmtId="182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9" cacheId="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compactData="0" multipleFieldFilters="0">
  <location ref="J2:P13" firstHeaderRow="1" firstDataRow="2" firstDataCol="2"/>
  <pivotFields count="9">
    <pivotField compact="0" outline="0" showAll="0"/>
    <pivotField axis="axisRow" compact="0" outline="0" showAll="0">
      <items count="10">
        <item x="4"/>
        <item x="3"/>
        <item x="7"/>
        <item x="0"/>
        <item x="5"/>
        <item x="2"/>
        <item x="8"/>
        <item x="6"/>
        <item x="1"/>
        <item t="default"/>
      </items>
    </pivotField>
    <pivotField axis="axisCol" compact="0" outline="0" showAll="0">
      <items count="5">
        <item x="0"/>
        <item x="2"/>
        <item x="1"/>
        <item x="3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n="기타광역시" x="2"/>
        <item n="서울, 부산" x="0"/>
        <item n="경기도" x="1"/>
      </items>
    </pivotField>
  </pivotFields>
  <rowFields count="2">
    <field x="8"/>
    <field x="1"/>
  </rowFields>
  <rowItems count="10">
    <i>
      <x/>
      <x/>
    </i>
    <i r="1">
      <x v="7"/>
    </i>
    <i r="1">
      <x v="8"/>
    </i>
    <i>
      <x v="1"/>
      <x v="1"/>
    </i>
    <i r="1">
      <x v="3"/>
    </i>
    <i>
      <x v="2"/>
      <x v="2"/>
    </i>
    <i r="1">
      <x v="4"/>
    </i>
    <i r="1">
      <x v="5"/>
    </i>
    <i r="1">
      <x v="6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평균 : 청약가능액" fld="3" subtotal="average" baseField="1" baseItem="0" numFmtId="182"/>
  </dataField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_1" connectionId="5" autoFormatId="16" applyNumberFormats="0" applyBorderFormats="0" applyFontFormats="1" applyPatternFormats="1" applyAlignmentFormats="0" applyWidthHeightFormats="0">
  <queryTableRefresh nextId="10">
    <queryTableFields count="9">
      <queryTableField id="1" name="관리코드"/>
      <queryTableField id="2" name="타이틀명"/>
      <queryTableField id="3" name="입고일자"/>
      <queryTableField id="4" name="가격"/>
      <queryTableField id="5" name="장르"/>
      <queryTableField id="6" name="시간"/>
      <queryTableField id="7" name="제작년도"/>
      <queryTableField id="8" name="대여료"/>
      <queryTableField id="9" name="대여기간"/>
    </queryTableFields>
  </queryTableRefresh>
</queryTable>
</file>

<file path=xl/queryTables/queryTable2.xml><?xml version="1.0" encoding="utf-8"?>
<queryTable xmlns="http://schemas.openxmlformats.org/spreadsheetml/2006/main" name="MS Access Database_Query_1" connectionId="4" autoFormatId="16" applyNumberFormats="0" applyBorderFormats="0" applyFontFormats="1" applyPatternFormats="1" applyAlignmentFormats="0" applyWidthHeightFormats="0">
  <queryTableRefresh nextId="10">
    <queryTableFields count="9">
      <queryTableField id="1" name="관리코드"/>
      <queryTableField id="2" name="타이틀명"/>
      <queryTableField id="3" name="입고일자"/>
      <queryTableField id="4" name="가격"/>
      <queryTableField id="5" name="장르"/>
      <queryTableField id="6" name="시간"/>
      <queryTableField id="7" name="제작년도"/>
      <queryTableField id="8" name="대여료"/>
      <queryTableField id="9" name="대여기간"/>
    </queryTableFields>
  </queryTableRefresh>
</queryTable>
</file>

<file path=xl/tables/table1.xml><?xml version="1.0" encoding="utf-8"?>
<table xmlns="http://schemas.openxmlformats.org/spreadsheetml/2006/main" id="3" name="표3" displayName="표3" ref="A1:H3" totalsRowShown="0">
  <autoFilter ref="A1:H3"/>
  <tableColumns count="8">
    <tableColumn id="1" name="번호"/>
    <tableColumn id="2" name="지역"/>
    <tableColumn id="3" name="전용면적"/>
    <tableColumn id="4" name="청약가능액"/>
    <tableColumn id="5" name="현재예치금"/>
    <tableColumn id="6" name="무주택"/>
    <tableColumn id="7" name="부양가족수"/>
    <tableColumn id="8" name="가입년수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2.xml"/><Relationship Id="rId4" Type="http://schemas.openxmlformats.org/officeDocument/2006/relationships/ctrlProp" Target="../ctrlProps/ctrlProp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workbookViewId="0"/>
  </sheetViews>
  <sheetFormatPr defaultRowHeight="16.5"/>
  <cols>
    <col min="6" max="6" width="11" bestFit="1" customWidth="1"/>
  </cols>
  <sheetData>
    <row r="1" spans="1:8">
      <c r="A1" s="83" t="s">
        <v>354</v>
      </c>
      <c r="B1" s="83" t="s">
        <v>4</v>
      </c>
      <c r="C1" s="83" t="s">
        <v>355</v>
      </c>
      <c r="D1" s="83" t="s">
        <v>356</v>
      </c>
      <c r="E1" s="83" t="s">
        <v>357</v>
      </c>
      <c r="F1" s="83" t="s">
        <v>173</v>
      </c>
      <c r="G1" s="83" t="s">
        <v>358</v>
      </c>
      <c r="H1" s="112" t="s">
        <v>359</v>
      </c>
    </row>
    <row r="2" spans="1:8">
      <c r="A2" s="83" t="s">
        <v>375</v>
      </c>
      <c r="B2" s="83" t="s">
        <v>1</v>
      </c>
      <c r="C2" s="83" t="s">
        <v>360</v>
      </c>
      <c r="D2" s="83" t="s">
        <v>361</v>
      </c>
      <c r="E2" s="83" t="s">
        <v>362</v>
      </c>
      <c r="F2" s="83" t="s">
        <v>363</v>
      </c>
      <c r="G2" s="83">
        <v>100</v>
      </c>
      <c r="H2" s="112">
        <v>0.34999999403953552</v>
      </c>
    </row>
    <row r="3" spans="1:8">
      <c r="A3" s="83" t="s">
        <v>375</v>
      </c>
      <c r="B3" s="83" t="s">
        <v>1</v>
      </c>
      <c r="C3" s="83" t="s">
        <v>360</v>
      </c>
      <c r="D3" s="83" t="s">
        <v>364</v>
      </c>
      <c r="E3" s="83" t="s">
        <v>365</v>
      </c>
      <c r="F3" s="83" t="s">
        <v>366</v>
      </c>
      <c r="G3" s="83">
        <v>64</v>
      </c>
      <c r="H3" s="112">
        <v>0.30000001192092896</v>
      </c>
    </row>
    <row r="4" spans="1:8">
      <c r="A4" s="83" t="s">
        <v>375</v>
      </c>
      <c r="B4" s="83" t="s">
        <v>1</v>
      </c>
      <c r="C4" s="83" t="s">
        <v>360</v>
      </c>
      <c r="D4" s="83" t="s">
        <v>367</v>
      </c>
      <c r="E4" s="83" t="s">
        <v>365</v>
      </c>
      <c r="F4" s="83" t="s">
        <v>368</v>
      </c>
      <c r="G4" s="83">
        <v>76</v>
      </c>
      <c r="H4" s="112">
        <v>0.20000000298023224</v>
      </c>
    </row>
    <row r="5" spans="1:8">
      <c r="A5" s="83" t="s">
        <v>375</v>
      </c>
      <c r="B5" s="83" t="s">
        <v>1</v>
      </c>
      <c r="C5" s="83" t="s">
        <v>360</v>
      </c>
      <c r="D5" s="83" t="s">
        <v>361</v>
      </c>
      <c r="E5" s="83" t="s">
        <v>365</v>
      </c>
      <c r="F5" s="83" t="s">
        <v>369</v>
      </c>
      <c r="G5" s="83">
        <v>92</v>
      </c>
      <c r="H5" s="112">
        <v>0.20000000298023224</v>
      </c>
    </row>
    <row r="6" spans="1:8">
      <c r="A6" s="83" t="s">
        <v>375</v>
      </c>
      <c r="B6" s="83" t="s">
        <v>1</v>
      </c>
      <c r="C6" s="83" t="s">
        <v>360</v>
      </c>
      <c r="D6" s="83" t="s">
        <v>367</v>
      </c>
      <c r="E6" s="83" t="s">
        <v>362</v>
      </c>
      <c r="F6" s="83" t="s">
        <v>363</v>
      </c>
      <c r="G6" s="83">
        <v>96</v>
      </c>
      <c r="H6" s="112">
        <v>0.20000000298023224</v>
      </c>
    </row>
    <row r="7" spans="1:8">
      <c r="A7" s="83" t="s">
        <v>376</v>
      </c>
      <c r="B7" s="83" t="s">
        <v>2</v>
      </c>
      <c r="C7" s="83" t="s">
        <v>370</v>
      </c>
      <c r="D7" s="83" t="s">
        <v>364</v>
      </c>
      <c r="E7" s="83" t="s">
        <v>362</v>
      </c>
      <c r="F7" s="83" t="s">
        <v>371</v>
      </c>
      <c r="G7" s="83">
        <v>84</v>
      </c>
      <c r="H7" s="112">
        <v>0.30000001192092896</v>
      </c>
    </row>
    <row r="8" spans="1:8">
      <c r="A8" s="83" t="s">
        <v>376</v>
      </c>
      <c r="B8" s="83" t="s">
        <v>2</v>
      </c>
      <c r="C8" s="83" t="s">
        <v>370</v>
      </c>
      <c r="D8" s="83" t="s">
        <v>364</v>
      </c>
      <c r="E8" s="83" t="s">
        <v>365</v>
      </c>
      <c r="F8" s="83" t="s">
        <v>366</v>
      </c>
      <c r="G8" s="83">
        <v>100</v>
      </c>
      <c r="H8" s="112">
        <v>0.30000001192092896</v>
      </c>
    </row>
    <row r="9" spans="1:8">
      <c r="A9" s="83" t="s">
        <v>376</v>
      </c>
      <c r="B9" s="83" t="s">
        <v>2</v>
      </c>
      <c r="C9" s="83" t="s">
        <v>370</v>
      </c>
      <c r="D9" s="83" t="s">
        <v>367</v>
      </c>
      <c r="E9" s="83" t="s">
        <v>365</v>
      </c>
      <c r="F9" s="83" t="s">
        <v>368</v>
      </c>
      <c r="G9" s="83">
        <v>96</v>
      </c>
      <c r="H9" s="112">
        <v>0.20000000298023224</v>
      </c>
    </row>
    <row r="10" spans="1:8">
      <c r="A10" s="83" t="s">
        <v>376</v>
      </c>
      <c r="B10" s="83" t="s">
        <v>2</v>
      </c>
      <c r="C10" s="83" t="s">
        <v>370</v>
      </c>
      <c r="D10" s="83" t="s">
        <v>367</v>
      </c>
      <c r="E10" s="83" t="s">
        <v>365</v>
      </c>
      <c r="F10" s="83" t="s">
        <v>369</v>
      </c>
      <c r="G10" s="83">
        <v>80</v>
      </c>
      <c r="H10" s="112">
        <v>0.10000000149011612</v>
      </c>
    </row>
    <row r="11" spans="1:8">
      <c r="A11" s="83" t="s">
        <v>376</v>
      </c>
      <c r="B11" s="83" t="s">
        <v>2</v>
      </c>
      <c r="C11" s="83" t="s">
        <v>370</v>
      </c>
      <c r="D11" s="83" t="s">
        <v>361</v>
      </c>
      <c r="E11" s="83" t="s">
        <v>362</v>
      </c>
      <c r="F11" s="83" t="s">
        <v>363</v>
      </c>
      <c r="G11" s="83">
        <v>88</v>
      </c>
      <c r="H11" s="112">
        <v>0.34999999403953552</v>
      </c>
    </row>
    <row r="12" spans="1:8">
      <c r="A12" s="83" t="s">
        <v>376</v>
      </c>
      <c r="B12" s="83" t="s">
        <v>2</v>
      </c>
      <c r="C12" s="83" t="s">
        <v>370</v>
      </c>
      <c r="D12" s="83" t="s">
        <v>367</v>
      </c>
      <c r="E12" s="83" t="s">
        <v>362</v>
      </c>
      <c r="F12" s="83" t="s">
        <v>363</v>
      </c>
      <c r="G12" s="83">
        <v>92</v>
      </c>
      <c r="H12" s="112">
        <v>0.30000001192092896</v>
      </c>
    </row>
    <row r="13" spans="1:8">
      <c r="A13" s="83" t="s">
        <v>377</v>
      </c>
      <c r="B13" s="83" t="s">
        <v>2</v>
      </c>
      <c r="C13" s="83" t="s">
        <v>372</v>
      </c>
      <c r="D13" s="83" t="s">
        <v>361</v>
      </c>
      <c r="E13" s="83" t="s">
        <v>362</v>
      </c>
      <c r="F13" s="83" t="s">
        <v>371</v>
      </c>
      <c r="G13" s="83">
        <v>88</v>
      </c>
      <c r="H13" s="112">
        <v>0.34999999403953552</v>
      </c>
    </row>
    <row r="14" spans="1:8">
      <c r="A14" s="83" t="s">
        <v>377</v>
      </c>
      <c r="B14" s="83" t="s">
        <v>2</v>
      </c>
      <c r="C14" s="83" t="s">
        <v>372</v>
      </c>
      <c r="D14" s="83" t="s">
        <v>364</v>
      </c>
      <c r="E14" s="83" t="s">
        <v>365</v>
      </c>
      <c r="F14" s="83" t="s">
        <v>368</v>
      </c>
      <c r="G14" s="83">
        <v>72</v>
      </c>
      <c r="H14" s="112">
        <v>0.10000000149011612</v>
      </c>
    </row>
    <row r="15" spans="1:8">
      <c r="A15" s="83" t="s">
        <v>377</v>
      </c>
      <c r="B15" s="83" t="s">
        <v>2</v>
      </c>
      <c r="C15" s="83" t="s">
        <v>372</v>
      </c>
      <c r="D15" s="83" t="s">
        <v>367</v>
      </c>
      <c r="E15" s="83" t="s">
        <v>365</v>
      </c>
      <c r="F15" s="83" t="s">
        <v>369</v>
      </c>
      <c r="G15" s="83">
        <v>68</v>
      </c>
      <c r="H15" s="112">
        <v>0.20000000298023224</v>
      </c>
    </row>
    <row r="16" spans="1:8">
      <c r="A16" s="83" t="s">
        <v>377</v>
      </c>
      <c r="B16" s="83" t="s">
        <v>2</v>
      </c>
      <c r="C16" s="83" t="s">
        <v>372</v>
      </c>
      <c r="D16" s="83" t="s">
        <v>364</v>
      </c>
      <c r="E16" s="83" t="s">
        <v>365</v>
      </c>
      <c r="F16" s="83" t="s">
        <v>366</v>
      </c>
      <c r="G16" s="83">
        <v>88</v>
      </c>
      <c r="H16" s="112">
        <v>0.30000001192092896</v>
      </c>
    </row>
    <row r="17" spans="1:8">
      <c r="A17" s="83" t="s">
        <v>377</v>
      </c>
      <c r="B17" s="83" t="s">
        <v>2</v>
      </c>
      <c r="C17" s="83" t="s">
        <v>372</v>
      </c>
      <c r="D17" s="83" t="s">
        <v>361</v>
      </c>
      <c r="E17" s="83" t="s">
        <v>365</v>
      </c>
      <c r="F17" s="83" t="s">
        <v>368</v>
      </c>
      <c r="G17" s="83">
        <v>64</v>
      </c>
      <c r="H17" s="112">
        <v>0.10000000149011612</v>
      </c>
    </row>
    <row r="18" spans="1:8">
      <c r="A18" s="83" t="s">
        <v>377</v>
      </c>
      <c r="B18" s="83" t="s">
        <v>2</v>
      </c>
      <c r="C18" s="83" t="s">
        <v>372</v>
      </c>
      <c r="D18" s="83" t="s">
        <v>367</v>
      </c>
      <c r="E18" s="83" t="s">
        <v>362</v>
      </c>
      <c r="F18" s="83" t="s">
        <v>363</v>
      </c>
      <c r="G18" s="83">
        <v>84</v>
      </c>
      <c r="H18" s="112">
        <v>0.30000001192092896</v>
      </c>
    </row>
    <row r="19" spans="1:8">
      <c r="A19" s="83" t="s">
        <v>379</v>
      </c>
      <c r="B19" s="83" t="s">
        <v>2</v>
      </c>
      <c r="C19" s="83" t="s">
        <v>373</v>
      </c>
      <c r="D19" s="83" t="s">
        <v>367</v>
      </c>
      <c r="E19" s="83" t="s">
        <v>362</v>
      </c>
      <c r="F19" s="83" t="s">
        <v>371</v>
      </c>
      <c r="G19" s="83">
        <v>88</v>
      </c>
      <c r="H19" s="112">
        <v>0.30000001192092896</v>
      </c>
    </row>
    <row r="20" spans="1:8">
      <c r="A20" s="83" t="s">
        <v>379</v>
      </c>
      <c r="B20" s="83" t="s">
        <v>2</v>
      </c>
      <c r="C20" s="83" t="s">
        <v>373</v>
      </c>
      <c r="D20" s="83" t="s">
        <v>364</v>
      </c>
      <c r="E20" s="83" t="s">
        <v>362</v>
      </c>
      <c r="F20" s="83" t="s">
        <v>363</v>
      </c>
      <c r="G20" s="83">
        <v>72</v>
      </c>
      <c r="H20" s="112">
        <v>0.30000001192092896</v>
      </c>
    </row>
    <row r="21" spans="1:8">
      <c r="A21" s="83" t="s">
        <v>379</v>
      </c>
      <c r="B21" s="83" t="s">
        <v>2</v>
      </c>
      <c r="C21" s="83" t="s">
        <v>373</v>
      </c>
      <c r="D21" s="83" t="s">
        <v>361</v>
      </c>
      <c r="E21" s="83" t="s">
        <v>365</v>
      </c>
      <c r="F21" s="83" t="s">
        <v>368</v>
      </c>
      <c r="G21" s="83">
        <v>92</v>
      </c>
      <c r="H21" s="112">
        <v>0.10000000149011612</v>
      </c>
    </row>
    <row r="22" spans="1:8">
      <c r="A22" s="83" t="s">
        <v>379</v>
      </c>
      <c r="B22" s="83" t="s">
        <v>2</v>
      </c>
      <c r="C22" s="83" t="s">
        <v>373</v>
      </c>
      <c r="D22" s="83" t="s">
        <v>361</v>
      </c>
      <c r="E22" s="83" t="s">
        <v>362</v>
      </c>
      <c r="F22" s="83" t="s">
        <v>371</v>
      </c>
      <c r="G22" s="83">
        <v>100</v>
      </c>
      <c r="H22" s="112">
        <v>0.34999999403953552</v>
      </c>
    </row>
    <row r="23" spans="1:8">
      <c r="A23" s="83" t="s">
        <v>379</v>
      </c>
      <c r="B23" s="83" t="s">
        <v>2</v>
      </c>
      <c r="C23" s="83" t="s">
        <v>373</v>
      </c>
      <c r="D23" s="83" t="s">
        <v>364</v>
      </c>
      <c r="E23" s="83" t="s">
        <v>365</v>
      </c>
      <c r="F23" s="83" t="s">
        <v>366</v>
      </c>
      <c r="G23" s="83">
        <v>64</v>
      </c>
      <c r="H23" s="112">
        <v>0.30000001192092896</v>
      </c>
    </row>
    <row r="24" spans="1:8">
      <c r="A24" s="83" t="s">
        <v>379</v>
      </c>
      <c r="B24" s="83" t="s">
        <v>2</v>
      </c>
      <c r="C24" s="83" t="s">
        <v>373</v>
      </c>
      <c r="D24" s="83" t="s">
        <v>367</v>
      </c>
      <c r="E24" s="83" t="s">
        <v>365</v>
      </c>
      <c r="F24" s="83" t="s">
        <v>369</v>
      </c>
      <c r="G24" s="83">
        <v>88</v>
      </c>
      <c r="H24" s="112">
        <v>0.20000000298023224</v>
      </c>
    </row>
    <row r="25" spans="1:8">
      <c r="A25" s="83" t="s">
        <v>378</v>
      </c>
      <c r="B25" s="83" t="s">
        <v>1</v>
      </c>
      <c r="C25" s="83" t="s">
        <v>374</v>
      </c>
      <c r="D25" s="83" t="s">
        <v>361</v>
      </c>
      <c r="E25" s="83" t="s">
        <v>365</v>
      </c>
      <c r="F25" s="83" t="s">
        <v>368</v>
      </c>
      <c r="G25" s="83">
        <v>100</v>
      </c>
      <c r="H25" s="112">
        <v>0.20000000298023224</v>
      </c>
    </row>
    <row r="26" spans="1:8">
      <c r="A26" s="83" t="s">
        <v>378</v>
      </c>
      <c r="B26" s="83" t="s">
        <v>1</v>
      </c>
      <c r="C26" s="83" t="s">
        <v>374</v>
      </c>
      <c r="D26" s="83" t="s">
        <v>364</v>
      </c>
      <c r="E26" s="83" t="s">
        <v>362</v>
      </c>
      <c r="F26" s="83" t="s">
        <v>363</v>
      </c>
      <c r="G26" s="83">
        <v>80</v>
      </c>
      <c r="H26" s="112">
        <v>0.30000001192092896</v>
      </c>
    </row>
    <row r="27" spans="1:8">
      <c r="A27" s="83" t="s">
        <v>378</v>
      </c>
      <c r="B27" s="83" t="s">
        <v>1</v>
      </c>
      <c r="C27" s="83" t="s">
        <v>374</v>
      </c>
      <c r="D27" s="83" t="s">
        <v>367</v>
      </c>
      <c r="E27" s="83" t="s">
        <v>365</v>
      </c>
      <c r="F27" s="83" t="s">
        <v>369</v>
      </c>
      <c r="G27" s="83">
        <v>72</v>
      </c>
      <c r="H27" s="112">
        <v>0.20000000298023224</v>
      </c>
    </row>
    <row r="28" spans="1:8">
      <c r="A28" s="83" t="s">
        <v>378</v>
      </c>
      <c r="B28" s="83" t="s">
        <v>1</v>
      </c>
      <c r="C28" s="83" t="s">
        <v>374</v>
      </c>
      <c r="D28" s="83" t="s">
        <v>364</v>
      </c>
      <c r="E28" s="83" t="s">
        <v>365</v>
      </c>
      <c r="F28" s="83" t="s">
        <v>366</v>
      </c>
      <c r="G28" s="83">
        <v>92</v>
      </c>
      <c r="H28" s="112">
        <v>0.30000001192092896</v>
      </c>
    </row>
    <row r="29" spans="1:8">
      <c r="A29" s="83" t="s">
        <v>378</v>
      </c>
      <c r="B29" s="83" t="s">
        <v>1</v>
      </c>
      <c r="C29" s="83" t="s">
        <v>374</v>
      </c>
      <c r="D29" s="83" t="s">
        <v>367</v>
      </c>
      <c r="E29" s="83" t="s">
        <v>362</v>
      </c>
      <c r="F29" s="83" t="s">
        <v>371</v>
      </c>
      <c r="G29" s="83">
        <v>72</v>
      </c>
      <c r="H29" s="112">
        <v>0.30000001192092896</v>
      </c>
    </row>
    <row r="30" spans="1:8">
      <c r="A30" s="83" t="s">
        <v>378</v>
      </c>
      <c r="B30" s="83" t="s">
        <v>1</v>
      </c>
      <c r="C30" s="83" t="s">
        <v>374</v>
      </c>
      <c r="D30" s="83" t="s">
        <v>361</v>
      </c>
      <c r="E30" s="83" t="s">
        <v>365</v>
      </c>
      <c r="F30" s="83" t="s">
        <v>369</v>
      </c>
      <c r="G30" s="83">
        <v>100</v>
      </c>
      <c r="H30" s="112">
        <v>0.20000000298023224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0"/>
  <sheetViews>
    <sheetView workbookViewId="0"/>
  </sheetViews>
  <sheetFormatPr defaultRowHeight="16.5"/>
  <cols>
    <col min="6" max="6" width="11" bestFit="1" customWidth="1"/>
    <col min="10" max="10" width="15.5" customWidth="1"/>
    <col min="11" max="11" width="11" customWidth="1"/>
    <col min="12" max="15" width="15.25" bestFit="1" customWidth="1"/>
    <col min="16" max="17" width="15.25" customWidth="1"/>
    <col min="18" max="20" width="20.125" bestFit="1" customWidth="1"/>
  </cols>
  <sheetData>
    <row r="1" spans="1:17">
      <c r="A1" s="83" t="s">
        <v>354</v>
      </c>
      <c r="B1" s="83" t="s">
        <v>4</v>
      </c>
      <c r="C1" s="83" t="s">
        <v>355</v>
      </c>
      <c r="D1" s="83" t="s">
        <v>356</v>
      </c>
      <c r="E1" s="83" t="s">
        <v>357</v>
      </c>
      <c r="F1" s="83" t="s">
        <v>173</v>
      </c>
      <c r="G1" s="83" t="s">
        <v>358</v>
      </c>
      <c r="H1" s="112" t="s">
        <v>359</v>
      </c>
      <c r="J1" s="1" t="s">
        <v>354</v>
      </c>
      <c r="K1" t="s">
        <v>380</v>
      </c>
    </row>
    <row r="2" spans="1:17">
      <c r="A2" s="83" t="s">
        <v>375</v>
      </c>
      <c r="B2" s="83" t="s">
        <v>1</v>
      </c>
      <c r="C2" s="83" t="s">
        <v>360</v>
      </c>
      <c r="D2" s="83" t="s">
        <v>361</v>
      </c>
      <c r="E2" s="83" t="s">
        <v>362</v>
      </c>
      <c r="F2" s="83" t="s">
        <v>363</v>
      </c>
      <c r="G2" s="83">
        <v>100</v>
      </c>
      <c r="H2" s="112">
        <v>0.34999999403953552</v>
      </c>
    </row>
    <row r="3" spans="1:17">
      <c r="A3" s="83" t="s">
        <v>375</v>
      </c>
      <c r="B3" s="83" t="s">
        <v>1</v>
      </c>
      <c r="C3" s="83" t="s">
        <v>360</v>
      </c>
      <c r="D3" s="83" t="s">
        <v>364</v>
      </c>
      <c r="E3" s="83" t="s">
        <v>365</v>
      </c>
      <c r="F3" s="83" t="s">
        <v>366</v>
      </c>
      <c r="G3" s="83">
        <v>64</v>
      </c>
      <c r="H3" s="112">
        <v>0.30000001192092896</v>
      </c>
      <c r="L3" s="1" t="s">
        <v>357</v>
      </c>
      <c r="M3" s="1" t="s">
        <v>7</v>
      </c>
    </row>
    <row r="4" spans="1:17">
      <c r="A4" s="83" t="s">
        <v>375</v>
      </c>
      <c r="B4" s="83" t="s">
        <v>1</v>
      </c>
      <c r="C4" s="83" t="s">
        <v>360</v>
      </c>
      <c r="D4" s="83" t="s">
        <v>367</v>
      </c>
      <c r="E4" s="83" t="s">
        <v>365</v>
      </c>
      <c r="F4" s="83" t="s">
        <v>368</v>
      </c>
      <c r="G4" s="83">
        <v>76</v>
      </c>
      <c r="H4" s="112">
        <v>0.20000000298023224</v>
      </c>
      <c r="L4" t="s">
        <v>365</v>
      </c>
      <c r="O4" t="s">
        <v>362</v>
      </c>
    </row>
    <row r="5" spans="1:17">
      <c r="A5" s="83" t="s">
        <v>375</v>
      </c>
      <c r="B5" s="83" t="s">
        <v>1</v>
      </c>
      <c r="C5" s="83" t="s">
        <v>360</v>
      </c>
      <c r="D5" s="83" t="s">
        <v>361</v>
      </c>
      <c r="E5" s="83" t="s">
        <v>365</v>
      </c>
      <c r="F5" s="83" t="s">
        <v>369</v>
      </c>
      <c r="G5" s="83">
        <v>92</v>
      </c>
      <c r="H5" s="112">
        <v>0.20000000298023224</v>
      </c>
      <c r="J5" s="1" t="s">
        <v>356</v>
      </c>
      <c r="K5" s="1" t="s">
        <v>173</v>
      </c>
      <c r="L5" t="s">
        <v>381</v>
      </c>
      <c r="M5" t="s">
        <v>383</v>
      </c>
      <c r="N5" t="s">
        <v>382</v>
      </c>
      <c r="O5" t="s">
        <v>381</v>
      </c>
      <c r="P5" t="s">
        <v>383</v>
      </c>
      <c r="Q5" t="s">
        <v>382</v>
      </c>
    </row>
    <row r="6" spans="1:17">
      <c r="A6" s="83" t="s">
        <v>375</v>
      </c>
      <c r="B6" s="83" t="s">
        <v>1</v>
      </c>
      <c r="C6" s="83" t="s">
        <v>360</v>
      </c>
      <c r="D6" s="83" t="s">
        <v>367</v>
      </c>
      <c r="E6" s="83" t="s">
        <v>362</v>
      </c>
      <c r="F6" s="83" t="s">
        <v>363</v>
      </c>
      <c r="G6" s="83">
        <v>96</v>
      </c>
      <c r="H6" s="112">
        <v>0.20000000298023224</v>
      </c>
      <c r="J6" t="s">
        <v>364</v>
      </c>
      <c r="L6" s="2">
        <v>480</v>
      </c>
      <c r="M6" s="113">
        <v>1.6000000610947609</v>
      </c>
      <c r="N6" s="114">
        <v>768.00002932548523</v>
      </c>
      <c r="O6" s="2">
        <v>236</v>
      </c>
      <c r="P6" s="113">
        <v>0.90000003576278687</v>
      </c>
      <c r="Q6" s="114">
        <v>212.4000084400177</v>
      </c>
    </row>
    <row r="7" spans="1:17">
      <c r="A7" s="83" t="s">
        <v>376</v>
      </c>
      <c r="B7" s="83" t="s">
        <v>2</v>
      </c>
      <c r="C7" s="83" t="s">
        <v>370</v>
      </c>
      <c r="D7" s="83" t="s">
        <v>364</v>
      </c>
      <c r="E7" s="83" t="s">
        <v>362</v>
      </c>
      <c r="F7" s="83" t="s">
        <v>371</v>
      </c>
      <c r="G7" s="83">
        <v>84</v>
      </c>
      <c r="H7" s="112">
        <v>0.30000001192092896</v>
      </c>
      <c r="K7" t="s">
        <v>371</v>
      </c>
      <c r="L7" s="2"/>
      <c r="M7" s="113"/>
      <c r="N7" s="114">
        <v>0</v>
      </c>
      <c r="O7" s="2">
        <v>84</v>
      </c>
      <c r="P7" s="113">
        <v>0.30000001192092896</v>
      </c>
      <c r="Q7" s="114">
        <v>25.200001001358032</v>
      </c>
    </row>
    <row r="8" spans="1:17">
      <c r="A8" s="83" t="s">
        <v>376</v>
      </c>
      <c r="B8" s="83" t="s">
        <v>2</v>
      </c>
      <c r="C8" s="83" t="s">
        <v>370</v>
      </c>
      <c r="D8" s="83" t="s">
        <v>364</v>
      </c>
      <c r="E8" s="83" t="s">
        <v>365</v>
      </c>
      <c r="F8" s="83" t="s">
        <v>366</v>
      </c>
      <c r="G8" s="83">
        <v>100</v>
      </c>
      <c r="H8" s="112">
        <v>0.30000001192092896</v>
      </c>
      <c r="K8" t="s">
        <v>368</v>
      </c>
      <c r="L8" s="2">
        <v>72</v>
      </c>
      <c r="M8" s="113">
        <v>0.10000000149011612</v>
      </c>
      <c r="N8" s="114">
        <v>7.2000001072883606</v>
      </c>
      <c r="O8" s="2"/>
      <c r="P8" s="113"/>
      <c r="Q8" s="114">
        <v>0</v>
      </c>
    </row>
    <row r="9" spans="1:17">
      <c r="A9" s="83" t="s">
        <v>376</v>
      </c>
      <c r="B9" s="83" t="s">
        <v>2</v>
      </c>
      <c r="C9" s="83" t="s">
        <v>370</v>
      </c>
      <c r="D9" s="83" t="s">
        <v>367</v>
      </c>
      <c r="E9" s="83" t="s">
        <v>365</v>
      </c>
      <c r="F9" s="83" t="s">
        <v>368</v>
      </c>
      <c r="G9" s="83">
        <v>96</v>
      </c>
      <c r="H9" s="112">
        <v>0.20000000298023224</v>
      </c>
      <c r="K9" t="s">
        <v>366</v>
      </c>
      <c r="L9" s="2">
        <v>408</v>
      </c>
      <c r="M9" s="113">
        <v>1.5000000596046448</v>
      </c>
      <c r="N9" s="114">
        <v>612.00002431869507</v>
      </c>
      <c r="O9" s="2"/>
      <c r="P9" s="113"/>
      <c r="Q9" s="114">
        <v>0</v>
      </c>
    </row>
    <row r="10" spans="1:17">
      <c r="A10" s="83" t="s">
        <v>376</v>
      </c>
      <c r="B10" s="83" t="s">
        <v>2</v>
      </c>
      <c r="C10" s="83" t="s">
        <v>370</v>
      </c>
      <c r="D10" s="83" t="s">
        <v>367</v>
      </c>
      <c r="E10" s="83" t="s">
        <v>365</v>
      </c>
      <c r="F10" s="83" t="s">
        <v>369</v>
      </c>
      <c r="G10" s="83">
        <v>80</v>
      </c>
      <c r="H10" s="112">
        <v>0.10000000149011612</v>
      </c>
      <c r="K10" t="s">
        <v>363</v>
      </c>
      <c r="L10" s="2"/>
      <c r="M10" s="113"/>
      <c r="N10" s="114">
        <v>0</v>
      </c>
      <c r="O10" s="2">
        <v>152</v>
      </c>
      <c r="P10" s="113">
        <v>0.60000002384185791</v>
      </c>
      <c r="Q10" s="114">
        <v>91.200003623962402</v>
      </c>
    </row>
    <row r="11" spans="1:17">
      <c r="A11" s="83" t="s">
        <v>376</v>
      </c>
      <c r="B11" s="83" t="s">
        <v>2</v>
      </c>
      <c r="C11" s="83" t="s">
        <v>370</v>
      </c>
      <c r="D11" s="83" t="s">
        <v>361</v>
      </c>
      <c r="E11" s="83" t="s">
        <v>362</v>
      </c>
      <c r="F11" s="83" t="s">
        <v>363</v>
      </c>
      <c r="G11" s="83">
        <v>88</v>
      </c>
      <c r="H11" s="112">
        <v>0.34999999403953552</v>
      </c>
      <c r="J11" t="s">
        <v>361</v>
      </c>
      <c r="L11" s="2">
        <v>448</v>
      </c>
      <c r="M11" s="113">
        <v>0.80000001192092896</v>
      </c>
      <c r="N11" s="114">
        <v>358.40000534057617</v>
      </c>
      <c r="O11" s="2">
        <v>376</v>
      </c>
      <c r="P11" s="113">
        <v>1.3999999761581421</v>
      </c>
      <c r="Q11" s="114">
        <v>526.39999103546143</v>
      </c>
    </row>
    <row r="12" spans="1:17">
      <c r="A12" s="83" t="s">
        <v>376</v>
      </c>
      <c r="B12" s="83" t="s">
        <v>2</v>
      </c>
      <c r="C12" s="83" t="s">
        <v>370</v>
      </c>
      <c r="D12" s="83" t="s">
        <v>367</v>
      </c>
      <c r="E12" s="83" t="s">
        <v>362</v>
      </c>
      <c r="F12" s="83" t="s">
        <v>363</v>
      </c>
      <c r="G12" s="83">
        <v>92</v>
      </c>
      <c r="H12" s="112">
        <v>0.30000001192092896</v>
      </c>
      <c r="K12" t="s">
        <v>371</v>
      </c>
      <c r="L12" s="2"/>
      <c r="M12" s="113"/>
      <c r="N12" s="114">
        <v>0</v>
      </c>
      <c r="O12" s="2">
        <v>188</v>
      </c>
      <c r="P12" s="113">
        <v>0.69999998807907104</v>
      </c>
      <c r="Q12" s="114">
        <v>131.59999775886536</v>
      </c>
    </row>
    <row r="13" spans="1:17">
      <c r="A13" s="83" t="s">
        <v>377</v>
      </c>
      <c r="B13" s="83" t="s">
        <v>2</v>
      </c>
      <c r="C13" s="83" t="s">
        <v>372</v>
      </c>
      <c r="D13" s="83" t="s">
        <v>361</v>
      </c>
      <c r="E13" s="83" t="s">
        <v>362</v>
      </c>
      <c r="F13" s="83" t="s">
        <v>371</v>
      </c>
      <c r="G13" s="83">
        <v>88</v>
      </c>
      <c r="H13" s="112">
        <v>0.34999999403953552</v>
      </c>
      <c r="K13" t="s">
        <v>368</v>
      </c>
      <c r="L13" s="2">
        <v>256</v>
      </c>
      <c r="M13" s="113">
        <v>0.40000000596046448</v>
      </c>
      <c r="N13" s="114">
        <v>102.40000152587891</v>
      </c>
      <c r="O13" s="2"/>
      <c r="P13" s="113"/>
      <c r="Q13" s="114">
        <v>0</v>
      </c>
    </row>
    <row r="14" spans="1:17">
      <c r="A14" s="83" t="s">
        <v>377</v>
      </c>
      <c r="B14" s="83" t="s">
        <v>2</v>
      </c>
      <c r="C14" s="83" t="s">
        <v>372</v>
      </c>
      <c r="D14" s="83" t="s">
        <v>364</v>
      </c>
      <c r="E14" s="83" t="s">
        <v>365</v>
      </c>
      <c r="F14" s="83" t="s">
        <v>368</v>
      </c>
      <c r="G14" s="83">
        <v>72</v>
      </c>
      <c r="H14" s="112">
        <v>0.10000000149011612</v>
      </c>
      <c r="K14" t="s">
        <v>363</v>
      </c>
      <c r="L14" s="2"/>
      <c r="M14" s="113"/>
      <c r="N14" s="114">
        <v>0</v>
      </c>
      <c r="O14" s="2">
        <v>188</v>
      </c>
      <c r="P14" s="113">
        <v>0.69999998807907104</v>
      </c>
      <c r="Q14" s="114">
        <v>131.59999775886536</v>
      </c>
    </row>
    <row r="15" spans="1:17">
      <c r="A15" s="83" t="s">
        <v>377</v>
      </c>
      <c r="B15" s="83" t="s">
        <v>2</v>
      </c>
      <c r="C15" s="83" t="s">
        <v>372</v>
      </c>
      <c r="D15" s="83" t="s">
        <v>367</v>
      </c>
      <c r="E15" s="83" t="s">
        <v>365</v>
      </c>
      <c r="F15" s="83" t="s">
        <v>369</v>
      </c>
      <c r="G15" s="83">
        <v>68</v>
      </c>
      <c r="H15" s="112">
        <v>0.20000000298023224</v>
      </c>
      <c r="K15" t="s">
        <v>369</v>
      </c>
      <c r="L15" s="2">
        <v>192</v>
      </c>
      <c r="M15" s="113">
        <v>0.40000000596046448</v>
      </c>
      <c r="N15" s="114">
        <v>76.80000114440918</v>
      </c>
      <c r="O15" s="2"/>
      <c r="P15" s="113"/>
      <c r="Q15" s="114">
        <v>0</v>
      </c>
    </row>
    <row r="16" spans="1:17">
      <c r="A16" s="83" t="s">
        <v>377</v>
      </c>
      <c r="B16" s="83" t="s">
        <v>2</v>
      </c>
      <c r="C16" s="83" t="s">
        <v>372</v>
      </c>
      <c r="D16" s="83" t="s">
        <v>364</v>
      </c>
      <c r="E16" s="83" t="s">
        <v>365</v>
      </c>
      <c r="F16" s="83" t="s">
        <v>366</v>
      </c>
      <c r="G16" s="83">
        <v>88</v>
      </c>
      <c r="H16" s="112">
        <v>0.30000001192092896</v>
      </c>
      <c r="J16" t="s">
        <v>367</v>
      </c>
      <c r="L16" s="2">
        <v>480</v>
      </c>
      <c r="M16" s="113">
        <v>1.1000000163912773</v>
      </c>
      <c r="N16" s="114">
        <v>528.00000786781311</v>
      </c>
      <c r="O16" s="2">
        <v>432</v>
      </c>
      <c r="P16" s="113">
        <v>1.4000000506639481</v>
      </c>
      <c r="Q16" s="114">
        <v>604.80002188682556</v>
      </c>
    </row>
    <row r="17" spans="1:17">
      <c r="A17" s="83" t="s">
        <v>377</v>
      </c>
      <c r="B17" s="83" t="s">
        <v>2</v>
      </c>
      <c r="C17" s="83" t="s">
        <v>372</v>
      </c>
      <c r="D17" s="83" t="s">
        <v>361</v>
      </c>
      <c r="E17" s="83" t="s">
        <v>365</v>
      </c>
      <c r="F17" s="83" t="s">
        <v>368</v>
      </c>
      <c r="G17" s="83">
        <v>64</v>
      </c>
      <c r="H17" s="112">
        <v>0.10000000149011612</v>
      </c>
      <c r="K17" t="s">
        <v>371</v>
      </c>
      <c r="L17" s="2"/>
      <c r="M17" s="113"/>
      <c r="N17" s="114">
        <v>0</v>
      </c>
      <c r="O17" s="2">
        <v>160</v>
      </c>
      <c r="P17" s="113">
        <v>0.60000002384185791</v>
      </c>
      <c r="Q17" s="114">
        <v>96.000003814697266</v>
      </c>
    </row>
    <row r="18" spans="1:17">
      <c r="A18" s="83" t="s">
        <v>377</v>
      </c>
      <c r="B18" s="83" t="s">
        <v>2</v>
      </c>
      <c r="C18" s="83" t="s">
        <v>372</v>
      </c>
      <c r="D18" s="83" t="s">
        <v>367</v>
      </c>
      <c r="E18" s="83" t="s">
        <v>362</v>
      </c>
      <c r="F18" s="83" t="s">
        <v>363</v>
      </c>
      <c r="G18" s="83">
        <v>84</v>
      </c>
      <c r="H18" s="112">
        <v>0.30000001192092896</v>
      </c>
      <c r="K18" t="s">
        <v>368</v>
      </c>
      <c r="L18" s="2">
        <v>172</v>
      </c>
      <c r="M18" s="113">
        <v>0.40000000596046448</v>
      </c>
      <c r="N18" s="114">
        <v>68.80000102519989</v>
      </c>
      <c r="O18" s="2"/>
      <c r="P18" s="113"/>
      <c r="Q18" s="114">
        <v>0</v>
      </c>
    </row>
    <row r="19" spans="1:17">
      <c r="A19" s="83" t="s">
        <v>379</v>
      </c>
      <c r="B19" s="83" t="s">
        <v>2</v>
      </c>
      <c r="C19" s="83" t="s">
        <v>373</v>
      </c>
      <c r="D19" s="83" t="s">
        <v>367</v>
      </c>
      <c r="E19" s="83" t="s">
        <v>362</v>
      </c>
      <c r="F19" s="83" t="s">
        <v>371</v>
      </c>
      <c r="G19" s="83">
        <v>88</v>
      </c>
      <c r="H19" s="112">
        <v>0.30000001192092896</v>
      </c>
      <c r="K19" t="s">
        <v>363</v>
      </c>
      <c r="L19" s="2"/>
      <c r="M19" s="113"/>
      <c r="N19" s="114">
        <v>0</v>
      </c>
      <c r="O19" s="2">
        <v>272</v>
      </c>
      <c r="P19" s="113">
        <v>0.80000002682209015</v>
      </c>
      <c r="Q19" s="114">
        <v>217.60000729560852</v>
      </c>
    </row>
    <row r="20" spans="1:17">
      <c r="A20" s="83" t="s">
        <v>379</v>
      </c>
      <c r="B20" s="83" t="s">
        <v>2</v>
      </c>
      <c r="C20" s="83" t="s">
        <v>373</v>
      </c>
      <c r="D20" s="83" t="s">
        <v>364</v>
      </c>
      <c r="E20" s="83" t="s">
        <v>362</v>
      </c>
      <c r="F20" s="83" t="s">
        <v>363</v>
      </c>
      <c r="G20" s="83">
        <v>72</v>
      </c>
      <c r="H20" s="112">
        <v>0.30000001192092896</v>
      </c>
      <c r="K20" t="s">
        <v>369</v>
      </c>
      <c r="L20" s="2">
        <v>308</v>
      </c>
      <c r="M20" s="113">
        <v>0.70000001043081284</v>
      </c>
      <c r="N20" s="114">
        <v>215.60000321269035</v>
      </c>
      <c r="O20" s="2"/>
      <c r="P20" s="113"/>
      <c r="Q20" s="114">
        <v>0</v>
      </c>
    </row>
    <row r="21" spans="1:17">
      <c r="A21" s="83" t="s">
        <v>379</v>
      </c>
      <c r="B21" s="83" t="s">
        <v>2</v>
      </c>
      <c r="C21" s="83" t="s">
        <v>373</v>
      </c>
      <c r="D21" s="83" t="s">
        <v>361</v>
      </c>
      <c r="E21" s="83" t="s">
        <v>365</v>
      </c>
      <c r="F21" s="83" t="s">
        <v>368</v>
      </c>
      <c r="G21" s="83">
        <v>92</v>
      </c>
      <c r="H21" s="112">
        <v>0.10000000149011612</v>
      </c>
      <c r="J21" t="s">
        <v>0</v>
      </c>
      <c r="L21" s="2">
        <v>1408</v>
      </c>
      <c r="M21" s="113">
        <v>3.5000000894069672</v>
      </c>
      <c r="N21" s="114">
        <v>4928.0001258850098</v>
      </c>
      <c r="O21" s="2">
        <v>1044</v>
      </c>
      <c r="P21" s="113">
        <v>3.700000062584877</v>
      </c>
      <c r="Q21" s="114">
        <v>3862.8000653386116</v>
      </c>
    </row>
    <row r="22" spans="1:17">
      <c r="A22" s="83" t="s">
        <v>379</v>
      </c>
      <c r="B22" s="83" t="s">
        <v>2</v>
      </c>
      <c r="C22" s="83" t="s">
        <v>373</v>
      </c>
      <c r="D22" s="83" t="s">
        <v>361</v>
      </c>
      <c r="E22" s="83" t="s">
        <v>362</v>
      </c>
      <c r="F22" s="83" t="s">
        <v>371</v>
      </c>
      <c r="G22" s="83">
        <v>100</v>
      </c>
      <c r="H22" s="112">
        <v>0.34999999403953552</v>
      </c>
    </row>
    <row r="23" spans="1:17">
      <c r="A23" s="83" t="s">
        <v>379</v>
      </c>
      <c r="B23" s="83" t="s">
        <v>2</v>
      </c>
      <c r="C23" s="83" t="s">
        <v>373</v>
      </c>
      <c r="D23" s="83" t="s">
        <v>364</v>
      </c>
      <c r="E23" s="83" t="s">
        <v>365</v>
      </c>
      <c r="F23" s="83" t="s">
        <v>366</v>
      </c>
      <c r="G23" s="83">
        <v>64</v>
      </c>
      <c r="H23" s="112">
        <v>0.30000001192092896</v>
      </c>
    </row>
    <row r="24" spans="1:17">
      <c r="A24" s="83" t="s">
        <v>379</v>
      </c>
      <c r="B24" s="83" t="s">
        <v>2</v>
      </c>
      <c r="C24" s="83" t="s">
        <v>373</v>
      </c>
      <c r="D24" s="83" t="s">
        <v>367</v>
      </c>
      <c r="E24" s="83" t="s">
        <v>365</v>
      </c>
      <c r="F24" s="83" t="s">
        <v>369</v>
      </c>
      <c r="G24" s="83">
        <v>88</v>
      </c>
      <c r="H24" s="112">
        <v>0.20000000298023224</v>
      </c>
    </row>
    <row r="25" spans="1:17">
      <c r="A25" s="83" t="s">
        <v>378</v>
      </c>
      <c r="B25" s="83" t="s">
        <v>1</v>
      </c>
      <c r="C25" s="83" t="s">
        <v>374</v>
      </c>
      <c r="D25" s="83" t="s">
        <v>361</v>
      </c>
      <c r="E25" s="83" t="s">
        <v>365</v>
      </c>
      <c r="F25" s="83" t="s">
        <v>368</v>
      </c>
      <c r="G25" s="83">
        <v>100</v>
      </c>
      <c r="H25" s="112">
        <v>0.20000000298023224</v>
      </c>
    </row>
    <row r="26" spans="1:17">
      <c r="A26" s="83" t="s">
        <v>378</v>
      </c>
      <c r="B26" s="83" t="s">
        <v>1</v>
      </c>
      <c r="C26" s="83" t="s">
        <v>374</v>
      </c>
      <c r="D26" s="83" t="s">
        <v>364</v>
      </c>
      <c r="E26" s="83" t="s">
        <v>362</v>
      </c>
      <c r="F26" s="83" t="s">
        <v>363</v>
      </c>
      <c r="G26" s="83">
        <v>80</v>
      </c>
      <c r="H26" s="112">
        <v>0.30000001192092896</v>
      </c>
    </row>
    <row r="27" spans="1:17">
      <c r="A27" s="83" t="s">
        <v>378</v>
      </c>
      <c r="B27" s="83" t="s">
        <v>1</v>
      </c>
      <c r="C27" s="83" t="s">
        <v>374</v>
      </c>
      <c r="D27" s="83" t="s">
        <v>367</v>
      </c>
      <c r="E27" s="83" t="s">
        <v>365</v>
      </c>
      <c r="F27" s="83" t="s">
        <v>369</v>
      </c>
      <c r="G27" s="83">
        <v>72</v>
      </c>
      <c r="H27" s="112">
        <v>0.20000000298023224</v>
      </c>
    </row>
    <row r="28" spans="1:17">
      <c r="A28" s="83" t="s">
        <v>378</v>
      </c>
      <c r="B28" s="83" t="s">
        <v>1</v>
      </c>
      <c r="C28" s="83" t="s">
        <v>374</v>
      </c>
      <c r="D28" s="83" t="s">
        <v>364</v>
      </c>
      <c r="E28" s="83" t="s">
        <v>365</v>
      </c>
      <c r="F28" s="83" t="s">
        <v>366</v>
      </c>
      <c r="G28" s="83">
        <v>92</v>
      </c>
      <c r="H28" s="112">
        <v>0.30000001192092896</v>
      </c>
    </row>
    <row r="29" spans="1:17">
      <c r="A29" s="83" t="s">
        <v>378</v>
      </c>
      <c r="B29" s="83" t="s">
        <v>1</v>
      </c>
      <c r="C29" s="83" t="s">
        <v>374</v>
      </c>
      <c r="D29" s="83" t="s">
        <v>367</v>
      </c>
      <c r="E29" s="83" t="s">
        <v>362</v>
      </c>
      <c r="F29" s="83" t="s">
        <v>371</v>
      </c>
      <c r="G29" s="83">
        <v>72</v>
      </c>
      <c r="H29" s="112">
        <v>0.30000001192092896</v>
      </c>
    </row>
    <row r="30" spans="1:17">
      <c r="A30" s="83" t="s">
        <v>378</v>
      </c>
      <c r="B30" s="83" t="s">
        <v>1</v>
      </c>
      <c r="C30" s="83" t="s">
        <v>374</v>
      </c>
      <c r="D30" s="83" t="s">
        <v>361</v>
      </c>
      <c r="E30" s="83" t="s">
        <v>365</v>
      </c>
      <c r="F30" s="83" t="s">
        <v>369</v>
      </c>
      <c r="G30" s="83">
        <v>100</v>
      </c>
      <c r="H30" s="112">
        <v>0.20000000298023224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/>
  </sheetViews>
  <sheetFormatPr defaultRowHeight="16.5"/>
  <cols>
    <col min="1" max="1" width="6.375" bestFit="1" customWidth="1"/>
    <col min="2" max="2" width="11" bestFit="1" customWidth="1"/>
    <col min="3" max="3" width="10.875" bestFit="1" customWidth="1"/>
    <col min="4" max="5" width="11" bestFit="1" customWidth="1"/>
    <col min="6" max="6" width="7.125" bestFit="1" customWidth="1"/>
    <col min="7" max="7" width="11" bestFit="1" customWidth="1"/>
  </cols>
  <sheetData>
    <row r="1" spans="1:8">
      <c r="A1" s="83" t="s">
        <v>307</v>
      </c>
      <c r="B1" s="83" t="s">
        <v>3</v>
      </c>
      <c r="C1" s="83" t="s">
        <v>308</v>
      </c>
      <c r="D1" s="83" t="s">
        <v>309</v>
      </c>
      <c r="E1" s="83" t="s">
        <v>310</v>
      </c>
      <c r="F1" s="83" t="s">
        <v>311</v>
      </c>
      <c r="G1" s="83" t="s">
        <v>312</v>
      </c>
      <c r="H1" s="83" t="s">
        <v>313</v>
      </c>
    </row>
    <row r="2" spans="1:8">
      <c r="A2" s="83" t="s">
        <v>314</v>
      </c>
      <c r="B2" s="83" t="s">
        <v>315</v>
      </c>
      <c r="C2" s="83" t="s">
        <v>316</v>
      </c>
      <c r="D2" s="83">
        <v>300</v>
      </c>
      <c r="E2" s="83">
        <v>250</v>
      </c>
      <c r="F2" s="83">
        <v>5</v>
      </c>
      <c r="G2" s="83">
        <v>2</v>
      </c>
      <c r="H2" s="83">
        <v>3</v>
      </c>
    </row>
    <row r="3" spans="1:8">
      <c r="A3" s="83" t="s">
        <v>317</v>
      </c>
      <c r="B3" s="83" t="s">
        <v>318</v>
      </c>
      <c r="C3" s="83" t="s">
        <v>319</v>
      </c>
      <c r="D3" s="83">
        <v>700</v>
      </c>
      <c r="E3" s="83">
        <v>800</v>
      </c>
      <c r="F3" s="83">
        <v>10</v>
      </c>
      <c r="G3" s="83">
        <v>5</v>
      </c>
      <c r="H3" s="83">
        <v>13</v>
      </c>
    </row>
    <row r="4" spans="1:8">
      <c r="A4" s="83" t="s">
        <v>320</v>
      </c>
      <c r="B4" s="83" t="s">
        <v>321</v>
      </c>
      <c r="C4" s="83" t="s">
        <v>316</v>
      </c>
      <c r="D4" s="83">
        <v>200</v>
      </c>
      <c r="E4" s="83">
        <v>200</v>
      </c>
      <c r="F4" s="83">
        <v>3</v>
      </c>
      <c r="G4" s="83">
        <v>4</v>
      </c>
      <c r="H4" s="83">
        <v>5</v>
      </c>
    </row>
    <row r="5" spans="1:8">
      <c r="A5" s="83" t="s">
        <v>322</v>
      </c>
      <c r="B5" s="83" t="s">
        <v>323</v>
      </c>
      <c r="C5" s="83" t="s">
        <v>319</v>
      </c>
      <c r="D5" s="83">
        <v>1000</v>
      </c>
      <c r="E5" s="83">
        <v>1500</v>
      </c>
      <c r="F5" s="83">
        <v>20</v>
      </c>
      <c r="G5" s="83">
        <v>5</v>
      </c>
      <c r="H5" s="83">
        <v>12</v>
      </c>
    </row>
    <row r="6" spans="1:8">
      <c r="A6" s="83" t="s">
        <v>324</v>
      </c>
      <c r="B6" s="83" t="s">
        <v>315</v>
      </c>
      <c r="C6" s="83" t="s">
        <v>325</v>
      </c>
      <c r="D6" s="83">
        <v>600</v>
      </c>
      <c r="E6" s="83">
        <v>550</v>
      </c>
      <c r="F6" s="83">
        <v>8</v>
      </c>
      <c r="G6" s="83">
        <v>2</v>
      </c>
      <c r="H6" s="83">
        <v>5</v>
      </c>
    </row>
    <row r="7" spans="1:8">
      <c r="A7" s="83" t="s">
        <v>326</v>
      </c>
      <c r="B7" s="83" t="s">
        <v>327</v>
      </c>
      <c r="C7" s="83" t="s">
        <v>325</v>
      </c>
      <c r="D7" s="83">
        <v>400</v>
      </c>
      <c r="E7" s="83">
        <v>400</v>
      </c>
      <c r="F7" s="83">
        <v>13</v>
      </c>
      <c r="G7" s="83">
        <v>1</v>
      </c>
      <c r="H7" s="83">
        <v>3</v>
      </c>
    </row>
    <row r="8" spans="1:8">
      <c r="A8" s="83" t="s">
        <v>328</v>
      </c>
      <c r="B8" s="83" t="s">
        <v>318</v>
      </c>
      <c r="C8" s="83" t="s">
        <v>316</v>
      </c>
      <c r="D8" s="83">
        <v>250</v>
      </c>
      <c r="E8" s="83">
        <v>300</v>
      </c>
      <c r="F8" s="83">
        <v>5</v>
      </c>
      <c r="G8" s="83">
        <v>2</v>
      </c>
      <c r="H8" s="83">
        <v>5</v>
      </c>
    </row>
    <row r="9" spans="1:8">
      <c r="A9" s="83" t="s">
        <v>329</v>
      </c>
      <c r="B9" s="83" t="s">
        <v>330</v>
      </c>
      <c r="C9" s="83" t="s">
        <v>325</v>
      </c>
      <c r="D9" s="83">
        <v>300</v>
      </c>
      <c r="E9" s="83">
        <v>250</v>
      </c>
      <c r="F9" s="83">
        <v>9</v>
      </c>
      <c r="G9" s="83">
        <v>3</v>
      </c>
      <c r="H9" s="83">
        <v>5</v>
      </c>
    </row>
    <row r="10" spans="1:8">
      <c r="A10" s="83" t="s">
        <v>331</v>
      </c>
      <c r="B10" s="83" t="s">
        <v>321</v>
      </c>
      <c r="C10" s="83" t="s">
        <v>316</v>
      </c>
      <c r="D10" s="83">
        <v>200</v>
      </c>
      <c r="E10" s="83">
        <v>350</v>
      </c>
      <c r="F10" s="83">
        <v>4</v>
      </c>
      <c r="G10" s="83">
        <v>4</v>
      </c>
      <c r="H10" s="83">
        <v>12</v>
      </c>
    </row>
    <row r="11" spans="1:8">
      <c r="A11" s="83" t="s">
        <v>332</v>
      </c>
      <c r="B11" s="83" t="s">
        <v>333</v>
      </c>
      <c r="C11" s="83" t="s">
        <v>316</v>
      </c>
      <c r="D11" s="83">
        <v>250</v>
      </c>
      <c r="E11" s="83">
        <v>300</v>
      </c>
      <c r="F11" s="83">
        <v>3</v>
      </c>
      <c r="G11" s="83">
        <v>2</v>
      </c>
      <c r="H11" s="83">
        <v>5</v>
      </c>
    </row>
    <row r="12" spans="1:8">
      <c r="A12" s="83" t="s">
        <v>334</v>
      </c>
      <c r="B12" s="83" t="s">
        <v>335</v>
      </c>
      <c r="C12" s="83" t="s">
        <v>316</v>
      </c>
      <c r="D12" s="83">
        <v>200</v>
      </c>
      <c r="E12" s="83">
        <v>100</v>
      </c>
      <c r="F12" s="83">
        <v>12</v>
      </c>
      <c r="G12" s="83">
        <v>1</v>
      </c>
      <c r="H12" s="83">
        <v>2</v>
      </c>
    </row>
    <row r="13" spans="1:8">
      <c r="A13" s="83" t="s">
        <v>336</v>
      </c>
      <c r="B13" s="83" t="s">
        <v>315</v>
      </c>
      <c r="C13" s="83" t="s">
        <v>337</v>
      </c>
      <c r="D13" s="83">
        <v>1500</v>
      </c>
      <c r="E13" s="83">
        <v>2000</v>
      </c>
      <c r="F13" s="83">
        <v>16</v>
      </c>
      <c r="G13" s="83">
        <v>3</v>
      </c>
      <c r="H13" s="83">
        <v>5</v>
      </c>
    </row>
    <row r="14" spans="1:8">
      <c r="A14" s="83" t="s">
        <v>338</v>
      </c>
      <c r="B14" s="83" t="s">
        <v>327</v>
      </c>
      <c r="C14" s="83" t="s">
        <v>319</v>
      </c>
      <c r="D14" s="83">
        <v>700</v>
      </c>
      <c r="E14" s="83">
        <v>500</v>
      </c>
      <c r="F14" s="83">
        <v>20</v>
      </c>
      <c r="G14" s="83">
        <v>2</v>
      </c>
      <c r="H14" s="83">
        <v>5</v>
      </c>
    </row>
    <row r="15" spans="1:8">
      <c r="A15" s="83" t="s">
        <v>339</v>
      </c>
      <c r="B15" s="83" t="s">
        <v>323</v>
      </c>
      <c r="C15" s="83" t="s">
        <v>319</v>
      </c>
      <c r="D15" s="83">
        <v>1000</v>
      </c>
      <c r="E15" s="83">
        <v>800</v>
      </c>
      <c r="F15" s="83">
        <v>8</v>
      </c>
      <c r="G15" s="83">
        <v>2</v>
      </c>
      <c r="H15" s="83">
        <v>10</v>
      </c>
    </row>
    <row r="16" spans="1:8">
      <c r="A16" s="83" t="s">
        <v>340</v>
      </c>
      <c r="B16" s="83" t="s">
        <v>335</v>
      </c>
      <c r="C16" s="83" t="s">
        <v>325</v>
      </c>
      <c r="D16" s="83">
        <v>300</v>
      </c>
      <c r="E16" s="83">
        <v>250</v>
      </c>
      <c r="F16" s="83">
        <v>9</v>
      </c>
      <c r="G16" s="83">
        <v>1</v>
      </c>
      <c r="H16" s="83">
        <v>8</v>
      </c>
    </row>
    <row r="17" spans="1:8">
      <c r="A17" s="83" t="s">
        <v>341</v>
      </c>
      <c r="B17" s="83" t="s">
        <v>315</v>
      </c>
      <c r="C17" s="83" t="s">
        <v>316</v>
      </c>
      <c r="D17" s="83">
        <v>300</v>
      </c>
      <c r="E17" s="83">
        <v>450</v>
      </c>
      <c r="F17" s="83">
        <v>2</v>
      </c>
      <c r="G17" s="83">
        <v>5</v>
      </c>
      <c r="H17" s="83">
        <v>3</v>
      </c>
    </row>
    <row r="18" spans="1:8">
      <c r="A18" s="83" t="s">
        <v>342</v>
      </c>
      <c r="B18" s="83" t="s">
        <v>315</v>
      </c>
      <c r="C18" s="83" t="s">
        <v>319</v>
      </c>
      <c r="D18" s="83">
        <v>1000</v>
      </c>
      <c r="E18" s="83">
        <v>1500</v>
      </c>
      <c r="F18" s="83">
        <v>20</v>
      </c>
      <c r="G18" s="83">
        <v>3</v>
      </c>
      <c r="H18" s="83">
        <v>11</v>
      </c>
    </row>
    <row r="19" spans="1:8">
      <c r="A19" s="83" t="s">
        <v>343</v>
      </c>
      <c r="B19" s="83" t="s">
        <v>344</v>
      </c>
      <c r="C19" s="83" t="s">
        <v>319</v>
      </c>
      <c r="D19" s="83">
        <v>400</v>
      </c>
      <c r="E19" s="83">
        <v>500</v>
      </c>
      <c r="F19" s="83">
        <v>9</v>
      </c>
      <c r="G19" s="83">
        <v>2</v>
      </c>
      <c r="H19" s="83">
        <v>5</v>
      </c>
    </row>
    <row r="20" spans="1:8">
      <c r="A20" s="83" t="s">
        <v>345</v>
      </c>
      <c r="B20" s="83" t="s">
        <v>323</v>
      </c>
      <c r="C20" s="83" t="s">
        <v>325</v>
      </c>
      <c r="D20" s="83">
        <v>600</v>
      </c>
      <c r="E20" s="83">
        <v>500</v>
      </c>
      <c r="F20" s="83">
        <v>11</v>
      </c>
      <c r="G20" s="83">
        <v>5</v>
      </c>
      <c r="H20" s="83">
        <v>13</v>
      </c>
    </row>
    <row r="21" spans="1:8">
      <c r="A21" s="83" t="s">
        <v>346</v>
      </c>
      <c r="B21" s="83" t="s">
        <v>318</v>
      </c>
      <c r="C21" s="83" t="s">
        <v>325</v>
      </c>
      <c r="D21" s="83">
        <v>400</v>
      </c>
      <c r="E21" s="83">
        <v>300</v>
      </c>
      <c r="F21" s="83">
        <v>5</v>
      </c>
      <c r="G21" s="83">
        <v>1</v>
      </c>
      <c r="H21" s="83">
        <v>6</v>
      </c>
    </row>
    <row r="22" spans="1:8">
      <c r="A22" s="83" t="s">
        <v>347</v>
      </c>
      <c r="B22" s="83" t="s">
        <v>321</v>
      </c>
      <c r="C22" s="83" t="s">
        <v>316</v>
      </c>
      <c r="D22" s="83">
        <v>200</v>
      </c>
      <c r="E22" s="83">
        <v>350</v>
      </c>
      <c r="F22" s="83">
        <v>7</v>
      </c>
      <c r="G22" s="83">
        <v>3</v>
      </c>
      <c r="H22" s="83">
        <v>5</v>
      </c>
    </row>
    <row r="23" spans="1:8">
      <c r="A23" s="83" t="s">
        <v>348</v>
      </c>
      <c r="B23" s="83" t="s">
        <v>323</v>
      </c>
      <c r="C23" s="83" t="s">
        <v>319</v>
      </c>
      <c r="D23" s="83">
        <v>1000</v>
      </c>
      <c r="E23" s="83">
        <v>1200</v>
      </c>
      <c r="F23" s="83">
        <v>6</v>
      </c>
      <c r="G23" s="83">
        <v>4</v>
      </c>
      <c r="H23" s="83">
        <v>8</v>
      </c>
    </row>
    <row r="24" spans="1:8">
      <c r="A24" s="83" t="s">
        <v>349</v>
      </c>
      <c r="B24" s="83" t="s">
        <v>318</v>
      </c>
      <c r="C24" s="83" t="s">
        <v>319</v>
      </c>
      <c r="D24" s="83">
        <v>700</v>
      </c>
      <c r="E24" s="83">
        <v>800</v>
      </c>
      <c r="F24" s="83">
        <v>5</v>
      </c>
      <c r="G24" s="83">
        <v>2</v>
      </c>
      <c r="H24" s="83">
        <v>1</v>
      </c>
    </row>
    <row r="25" spans="1:8">
      <c r="A25" s="83" t="s">
        <v>350</v>
      </c>
      <c r="B25" s="83" t="s">
        <v>330</v>
      </c>
      <c r="C25" s="83" t="s">
        <v>316</v>
      </c>
      <c r="D25" s="83">
        <v>200</v>
      </c>
      <c r="E25" s="83">
        <v>300</v>
      </c>
      <c r="F25" s="83">
        <v>13</v>
      </c>
      <c r="G25" s="83">
        <v>2</v>
      </c>
      <c r="H25" s="83">
        <v>2</v>
      </c>
    </row>
    <row r="26" spans="1:8">
      <c r="A26" s="83" t="s">
        <v>351</v>
      </c>
      <c r="B26" s="83" t="s">
        <v>315</v>
      </c>
      <c r="C26" s="83" t="s">
        <v>325</v>
      </c>
      <c r="D26" s="83">
        <v>600</v>
      </c>
      <c r="E26" s="83">
        <v>500</v>
      </c>
      <c r="F26" s="83">
        <v>1</v>
      </c>
      <c r="G26" s="83">
        <v>1</v>
      </c>
      <c r="H26" s="83">
        <v>5</v>
      </c>
    </row>
    <row r="27" spans="1:8">
      <c r="A27" s="83" t="s">
        <v>352</v>
      </c>
      <c r="B27" s="83" t="s">
        <v>333</v>
      </c>
      <c r="C27" s="83" t="s">
        <v>316</v>
      </c>
      <c r="D27" s="83">
        <v>250</v>
      </c>
      <c r="E27" s="83">
        <v>300</v>
      </c>
      <c r="F27" s="83">
        <v>12</v>
      </c>
      <c r="G27" s="83">
        <v>3</v>
      </c>
      <c r="H27" s="83">
        <v>9</v>
      </c>
    </row>
    <row r="28" spans="1:8">
      <c r="A28" s="83" t="s">
        <v>353</v>
      </c>
      <c r="B28" s="83" t="s">
        <v>327</v>
      </c>
      <c r="C28" s="83" t="s">
        <v>319</v>
      </c>
      <c r="D28" s="83">
        <v>700</v>
      </c>
      <c r="E28" s="83">
        <v>600</v>
      </c>
      <c r="F28" s="83">
        <v>9</v>
      </c>
      <c r="G28" s="83">
        <v>2</v>
      </c>
      <c r="H28" s="83">
        <v>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/>
  </sheetViews>
  <sheetFormatPr defaultRowHeight="16.5"/>
  <cols>
    <col min="3" max="3" width="10.25" customWidth="1"/>
    <col min="4" max="5" width="12.125" customWidth="1"/>
    <col min="7" max="7" width="12.125" customWidth="1"/>
    <col min="8" max="8" width="10.25" customWidth="1"/>
  </cols>
  <sheetData>
    <row r="1" spans="1:8">
      <c r="A1" t="s">
        <v>307</v>
      </c>
      <c r="B1" t="s">
        <v>3</v>
      </c>
      <c r="C1" t="s">
        <v>308</v>
      </c>
      <c r="D1" t="s">
        <v>309</v>
      </c>
      <c r="E1" t="s">
        <v>310</v>
      </c>
      <c r="F1" t="s">
        <v>311</v>
      </c>
      <c r="G1" t="s">
        <v>312</v>
      </c>
      <c r="H1" t="s">
        <v>313</v>
      </c>
    </row>
    <row r="2" spans="1:8">
      <c r="A2" t="s">
        <v>314</v>
      </c>
      <c r="B2" t="s">
        <v>315</v>
      </c>
      <c r="C2" t="s">
        <v>316</v>
      </c>
      <c r="D2">
        <v>300</v>
      </c>
      <c r="E2">
        <v>250</v>
      </c>
      <c r="F2">
        <v>5</v>
      </c>
      <c r="G2">
        <v>2</v>
      </c>
      <c r="H2">
        <v>3</v>
      </c>
    </row>
    <row r="3" spans="1:8">
      <c r="A3" t="s">
        <v>341</v>
      </c>
      <c r="B3" t="s">
        <v>315</v>
      </c>
      <c r="C3" t="s">
        <v>316</v>
      </c>
      <c r="D3">
        <v>300</v>
      </c>
      <c r="E3">
        <v>450</v>
      </c>
      <c r="F3">
        <v>2</v>
      </c>
      <c r="G3">
        <v>5</v>
      </c>
      <c r="H3">
        <v>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8"/>
  <sheetViews>
    <sheetView workbookViewId="0">
      <selection activeCell="K5" sqref="K5"/>
    </sheetView>
  </sheetViews>
  <sheetFormatPr defaultRowHeight="16.5"/>
  <cols>
    <col min="1" max="1" width="6.375" bestFit="1" customWidth="1"/>
    <col min="2" max="2" width="11" bestFit="1" customWidth="1"/>
    <col min="3" max="3" width="10.875" bestFit="1" customWidth="1"/>
    <col min="4" max="5" width="11" bestFit="1" customWidth="1"/>
    <col min="6" max="6" width="7.125" bestFit="1" customWidth="1"/>
    <col min="7" max="7" width="11" bestFit="1" customWidth="1"/>
    <col min="10" max="10" width="17.375" bestFit="1" customWidth="1"/>
    <col min="11" max="11" width="11" customWidth="1"/>
    <col min="12" max="15" width="11.5" customWidth="1"/>
    <col min="16" max="16" width="7.375" customWidth="1"/>
  </cols>
  <sheetData>
    <row r="1" spans="1:16">
      <c r="A1" s="83" t="s">
        <v>307</v>
      </c>
      <c r="B1" s="83" t="s">
        <v>3</v>
      </c>
      <c r="C1" s="83" t="s">
        <v>308</v>
      </c>
      <c r="D1" s="83" t="s">
        <v>309</v>
      </c>
      <c r="E1" s="83" t="s">
        <v>310</v>
      </c>
      <c r="F1" s="83" t="s">
        <v>311</v>
      </c>
      <c r="G1" s="83" t="s">
        <v>312</v>
      </c>
      <c r="H1" s="83" t="s">
        <v>313</v>
      </c>
    </row>
    <row r="2" spans="1:16">
      <c r="A2" s="83" t="s">
        <v>314</v>
      </c>
      <c r="B2" s="83" t="s">
        <v>315</v>
      </c>
      <c r="C2" s="83" t="s">
        <v>316</v>
      </c>
      <c r="D2" s="83">
        <v>300</v>
      </c>
      <c r="E2" s="83">
        <v>250</v>
      </c>
      <c r="F2" s="83">
        <v>5</v>
      </c>
      <c r="G2" s="83">
        <v>2</v>
      </c>
      <c r="H2" s="83">
        <v>3</v>
      </c>
      <c r="J2" s="1" t="s">
        <v>384</v>
      </c>
      <c r="L2" s="1" t="s">
        <v>308</v>
      </c>
    </row>
    <row r="3" spans="1:16">
      <c r="A3" s="83" t="s">
        <v>317</v>
      </c>
      <c r="B3" s="83" t="s">
        <v>318</v>
      </c>
      <c r="C3" s="83" t="s">
        <v>319</v>
      </c>
      <c r="D3" s="83">
        <v>700</v>
      </c>
      <c r="E3" s="83">
        <v>800</v>
      </c>
      <c r="F3" s="83">
        <v>10</v>
      </c>
      <c r="G3" s="83">
        <v>5</v>
      </c>
      <c r="H3" s="83">
        <v>13</v>
      </c>
      <c r="J3" s="1" t="s">
        <v>385</v>
      </c>
      <c r="K3" s="1" t="s">
        <v>3</v>
      </c>
      <c r="L3" t="s">
        <v>316</v>
      </c>
      <c r="M3" t="s">
        <v>325</v>
      </c>
      <c r="N3" t="s">
        <v>319</v>
      </c>
      <c r="O3" t="s">
        <v>337</v>
      </c>
      <c r="P3" t="s">
        <v>0</v>
      </c>
    </row>
    <row r="4" spans="1:16">
      <c r="A4" s="83" t="s">
        <v>320</v>
      </c>
      <c r="B4" s="83" t="s">
        <v>321</v>
      </c>
      <c r="C4" s="83" t="s">
        <v>316</v>
      </c>
      <c r="D4" s="83">
        <v>200</v>
      </c>
      <c r="E4" s="83">
        <v>200</v>
      </c>
      <c r="F4" s="83">
        <v>3</v>
      </c>
      <c r="G4" s="83">
        <v>4</v>
      </c>
      <c r="H4" s="83">
        <v>5</v>
      </c>
      <c r="J4" t="s">
        <v>386</v>
      </c>
      <c r="K4" t="s">
        <v>327</v>
      </c>
      <c r="L4" s="114"/>
      <c r="M4" s="114">
        <v>400</v>
      </c>
      <c r="N4" s="114">
        <v>700</v>
      </c>
      <c r="O4" s="114"/>
      <c r="P4" s="114">
        <v>600</v>
      </c>
    </row>
    <row r="5" spans="1:16">
      <c r="A5" s="83" t="s">
        <v>322</v>
      </c>
      <c r="B5" s="83" t="s">
        <v>323</v>
      </c>
      <c r="C5" s="83" t="s">
        <v>319</v>
      </c>
      <c r="D5" s="83">
        <v>1000</v>
      </c>
      <c r="E5" s="83">
        <v>1500</v>
      </c>
      <c r="F5" s="83">
        <v>20</v>
      </c>
      <c r="G5" s="83">
        <v>5</v>
      </c>
      <c r="H5" s="83">
        <v>12</v>
      </c>
      <c r="K5" t="s">
        <v>333</v>
      </c>
      <c r="L5" s="114">
        <v>250</v>
      </c>
      <c r="M5" s="114"/>
      <c r="N5" s="114"/>
      <c r="O5" s="114"/>
      <c r="P5" s="114">
        <v>250</v>
      </c>
    </row>
    <row r="6" spans="1:16">
      <c r="A6" s="83" t="s">
        <v>324</v>
      </c>
      <c r="B6" s="83" t="s">
        <v>315</v>
      </c>
      <c r="C6" s="83" t="s">
        <v>325</v>
      </c>
      <c r="D6" s="83">
        <v>600</v>
      </c>
      <c r="E6" s="83">
        <v>550</v>
      </c>
      <c r="F6" s="83">
        <v>8</v>
      </c>
      <c r="G6" s="83">
        <v>2</v>
      </c>
      <c r="H6" s="83">
        <v>5</v>
      </c>
      <c r="K6" t="s">
        <v>318</v>
      </c>
      <c r="L6" s="114">
        <v>250</v>
      </c>
      <c r="M6" s="114">
        <v>400</v>
      </c>
      <c r="N6" s="114">
        <v>700</v>
      </c>
      <c r="O6" s="114"/>
      <c r="P6" s="114">
        <v>512.5</v>
      </c>
    </row>
    <row r="7" spans="1:16">
      <c r="A7" s="83" t="s">
        <v>326</v>
      </c>
      <c r="B7" s="83" t="s">
        <v>327</v>
      </c>
      <c r="C7" s="83" t="s">
        <v>325</v>
      </c>
      <c r="D7" s="83">
        <v>400</v>
      </c>
      <c r="E7" s="83">
        <v>400</v>
      </c>
      <c r="F7" s="83">
        <v>13</v>
      </c>
      <c r="G7" s="83">
        <v>1</v>
      </c>
      <c r="H7" s="83">
        <v>3</v>
      </c>
      <c r="J7" t="s">
        <v>387</v>
      </c>
      <c r="K7" t="s">
        <v>323</v>
      </c>
      <c r="L7" s="114"/>
      <c r="M7" s="114">
        <v>600</v>
      </c>
      <c r="N7" s="114">
        <v>1000</v>
      </c>
      <c r="O7" s="114"/>
      <c r="P7" s="114">
        <v>900</v>
      </c>
    </row>
    <row r="8" spans="1:16">
      <c r="A8" s="83" t="s">
        <v>328</v>
      </c>
      <c r="B8" s="83" t="s">
        <v>318</v>
      </c>
      <c r="C8" s="83" t="s">
        <v>316</v>
      </c>
      <c r="D8" s="83">
        <v>250</v>
      </c>
      <c r="E8" s="83">
        <v>300</v>
      </c>
      <c r="F8" s="83">
        <v>5</v>
      </c>
      <c r="G8" s="83">
        <v>2</v>
      </c>
      <c r="H8" s="83">
        <v>5</v>
      </c>
      <c r="K8" t="s">
        <v>315</v>
      </c>
      <c r="L8" s="114">
        <v>300</v>
      </c>
      <c r="M8" s="114">
        <v>600</v>
      </c>
      <c r="N8" s="114">
        <v>1000</v>
      </c>
      <c r="O8" s="114">
        <v>1500</v>
      </c>
      <c r="P8" s="114">
        <v>716.66666666666663</v>
      </c>
    </row>
    <row r="9" spans="1:16">
      <c r="A9" s="83" t="s">
        <v>329</v>
      </c>
      <c r="B9" s="83" t="s">
        <v>330</v>
      </c>
      <c r="C9" s="83" t="s">
        <v>325</v>
      </c>
      <c r="D9" s="83">
        <v>300</v>
      </c>
      <c r="E9" s="83">
        <v>250</v>
      </c>
      <c r="F9" s="83">
        <v>9</v>
      </c>
      <c r="G9" s="83">
        <v>3</v>
      </c>
      <c r="H9" s="83">
        <v>5</v>
      </c>
      <c r="J9" t="s">
        <v>388</v>
      </c>
      <c r="K9" t="s">
        <v>335</v>
      </c>
      <c r="L9" s="114">
        <v>200</v>
      </c>
      <c r="M9" s="114">
        <v>300</v>
      </c>
      <c r="N9" s="114"/>
      <c r="O9" s="114"/>
      <c r="P9" s="114">
        <v>250</v>
      </c>
    </row>
    <row r="10" spans="1:16">
      <c r="A10" s="83" t="s">
        <v>331</v>
      </c>
      <c r="B10" s="83" t="s">
        <v>321</v>
      </c>
      <c r="C10" s="83" t="s">
        <v>316</v>
      </c>
      <c r="D10" s="83">
        <v>200</v>
      </c>
      <c r="E10" s="83">
        <v>350</v>
      </c>
      <c r="F10" s="83">
        <v>4</v>
      </c>
      <c r="G10" s="83">
        <v>4</v>
      </c>
      <c r="H10" s="83">
        <v>12</v>
      </c>
      <c r="K10" t="s">
        <v>330</v>
      </c>
      <c r="L10" s="114">
        <v>200</v>
      </c>
      <c r="M10" s="114">
        <v>300</v>
      </c>
      <c r="N10" s="114"/>
      <c r="O10" s="114"/>
      <c r="P10" s="114">
        <v>250</v>
      </c>
    </row>
    <row r="11" spans="1:16">
      <c r="A11" s="83" t="s">
        <v>332</v>
      </c>
      <c r="B11" s="83" t="s">
        <v>333</v>
      </c>
      <c r="C11" s="83" t="s">
        <v>316</v>
      </c>
      <c r="D11" s="83">
        <v>250</v>
      </c>
      <c r="E11" s="83">
        <v>300</v>
      </c>
      <c r="F11" s="83">
        <v>3</v>
      </c>
      <c r="G11" s="83">
        <v>2</v>
      </c>
      <c r="H11" s="83">
        <v>5</v>
      </c>
      <c r="K11" t="s">
        <v>321</v>
      </c>
      <c r="L11" s="114">
        <v>200</v>
      </c>
      <c r="M11" s="114"/>
      <c r="N11" s="114"/>
      <c r="O11" s="114"/>
      <c r="P11" s="114">
        <v>200</v>
      </c>
    </row>
    <row r="12" spans="1:16">
      <c r="A12" s="83" t="s">
        <v>334</v>
      </c>
      <c r="B12" s="83" t="s">
        <v>335</v>
      </c>
      <c r="C12" s="83" t="s">
        <v>316</v>
      </c>
      <c r="D12" s="83">
        <v>200</v>
      </c>
      <c r="E12" s="83">
        <v>100</v>
      </c>
      <c r="F12" s="83">
        <v>12</v>
      </c>
      <c r="G12" s="83">
        <v>1</v>
      </c>
      <c r="H12" s="83">
        <v>2</v>
      </c>
      <c r="K12" t="s">
        <v>344</v>
      </c>
      <c r="L12" s="114"/>
      <c r="M12" s="114"/>
      <c r="N12" s="114">
        <v>400</v>
      </c>
      <c r="O12" s="114"/>
      <c r="P12" s="114">
        <v>400</v>
      </c>
    </row>
    <row r="13" spans="1:16">
      <c r="A13" s="83" t="s">
        <v>336</v>
      </c>
      <c r="B13" s="83" t="s">
        <v>315</v>
      </c>
      <c r="C13" s="83" t="s">
        <v>337</v>
      </c>
      <c r="D13" s="83">
        <v>1500</v>
      </c>
      <c r="E13" s="83">
        <v>2000</v>
      </c>
      <c r="F13" s="83">
        <v>16</v>
      </c>
      <c r="G13" s="83">
        <v>3</v>
      </c>
      <c r="H13" s="83">
        <v>5</v>
      </c>
      <c r="J13" t="s">
        <v>0</v>
      </c>
      <c r="L13" s="114">
        <v>235</v>
      </c>
      <c r="M13" s="114">
        <v>457.14285714285717</v>
      </c>
      <c r="N13" s="114">
        <v>800</v>
      </c>
      <c r="O13" s="114">
        <v>1500</v>
      </c>
      <c r="P13" s="114">
        <v>527.77777777777783</v>
      </c>
    </row>
    <row r="14" spans="1:16">
      <c r="A14" s="83" t="s">
        <v>338</v>
      </c>
      <c r="B14" s="83" t="s">
        <v>327</v>
      </c>
      <c r="C14" s="83" t="s">
        <v>319</v>
      </c>
      <c r="D14" s="83">
        <v>700</v>
      </c>
      <c r="E14" s="83">
        <v>500</v>
      </c>
      <c r="F14" s="83">
        <v>20</v>
      </c>
      <c r="G14" s="83">
        <v>2</v>
      </c>
      <c r="H14" s="83">
        <v>5</v>
      </c>
    </row>
    <row r="15" spans="1:16">
      <c r="A15" s="83" t="s">
        <v>339</v>
      </c>
      <c r="B15" s="83" t="s">
        <v>323</v>
      </c>
      <c r="C15" s="83" t="s">
        <v>319</v>
      </c>
      <c r="D15" s="83">
        <v>1000</v>
      </c>
      <c r="E15" s="83">
        <v>800</v>
      </c>
      <c r="F15" s="83">
        <v>8</v>
      </c>
      <c r="G15" s="83">
        <v>2</v>
      </c>
      <c r="H15" s="83">
        <v>10</v>
      </c>
    </row>
    <row r="16" spans="1:16">
      <c r="A16" s="83" t="s">
        <v>340</v>
      </c>
      <c r="B16" s="83" t="s">
        <v>335</v>
      </c>
      <c r="C16" s="83" t="s">
        <v>325</v>
      </c>
      <c r="D16" s="83">
        <v>300</v>
      </c>
      <c r="E16" s="83">
        <v>250</v>
      </c>
      <c r="F16" s="83">
        <v>9</v>
      </c>
      <c r="G16" s="83">
        <v>1</v>
      </c>
      <c r="H16" s="83">
        <v>8</v>
      </c>
    </row>
    <row r="17" spans="1:8">
      <c r="A17" s="83" t="s">
        <v>341</v>
      </c>
      <c r="B17" s="83" t="s">
        <v>315</v>
      </c>
      <c r="C17" s="83" t="s">
        <v>316</v>
      </c>
      <c r="D17" s="83">
        <v>300</v>
      </c>
      <c r="E17" s="83">
        <v>450</v>
      </c>
      <c r="F17" s="83">
        <v>2</v>
      </c>
      <c r="G17" s="83">
        <v>5</v>
      </c>
      <c r="H17" s="83">
        <v>3</v>
      </c>
    </row>
    <row r="18" spans="1:8">
      <c r="A18" s="83" t="s">
        <v>342</v>
      </c>
      <c r="B18" s="83" t="s">
        <v>315</v>
      </c>
      <c r="C18" s="83" t="s">
        <v>319</v>
      </c>
      <c r="D18" s="83">
        <v>1000</v>
      </c>
      <c r="E18" s="83">
        <v>1500</v>
      </c>
      <c r="F18" s="83">
        <v>20</v>
      </c>
      <c r="G18" s="83">
        <v>3</v>
      </c>
      <c r="H18" s="83">
        <v>11</v>
      </c>
    </row>
    <row r="19" spans="1:8">
      <c r="A19" s="83" t="s">
        <v>343</v>
      </c>
      <c r="B19" s="83" t="s">
        <v>344</v>
      </c>
      <c r="C19" s="83" t="s">
        <v>319</v>
      </c>
      <c r="D19" s="83">
        <v>400</v>
      </c>
      <c r="E19" s="83">
        <v>500</v>
      </c>
      <c r="F19" s="83">
        <v>9</v>
      </c>
      <c r="G19" s="83">
        <v>2</v>
      </c>
      <c r="H19" s="83">
        <v>5</v>
      </c>
    </row>
    <row r="20" spans="1:8">
      <c r="A20" s="83" t="s">
        <v>345</v>
      </c>
      <c r="B20" s="83" t="s">
        <v>323</v>
      </c>
      <c r="C20" s="83" t="s">
        <v>325</v>
      </c>
      <c r="D20" s="83">
        <v>600</v>
      </c>
      <c r="E20" s="83">
        <v>500</v>
      </c>
      <c r="F20" s="83">
        <v>11</v>
      </c>
      <c r="G20" s="83">
        <v>5</v>
      </c>
      <c r="H20" s="83">
        <v>13</v>
      </c>
    </row>
    <row r="21" spans="1:8">
      <c r="A21" s="83" t="s">
        <v>346</v>
      </c>
      <c r="B21" s="83" t="s">
        <v>318</v>
      </c>
      <c r="C21" s="83" t="s">
        <v>325</v>
      </c>
      <c r="D21" s="83">
        <v>400</v>
      </c>
      <c r="E21" s="83">
        <v>300</v>
      </c>
      <c r="F21" s="83">
        <v>5</v>
      </c>
      <c r="G21" s="83">
        <v>1</v>
      </c>
      <c r="H21" s="83">
        <v>6</v>
      </c>
    </row>
    <row r="22" spans="1:8">
      <c r="A22" s="83" t="s">
        <v>347</v>
      </c>
      <c r="B22" s="83" t="s">
        <v>321</v>
      </c>
      <c r="C22" s="83" t="s">
        <v>316</v>
      </c>
      <c r="D22" s="83">
        <v>200</v>
      </c>
      <c r="E22" s="83">
        <v>350</v>
      </c>
      <c r="F22" s="83">
        <v>7</v>
      </c>
      <c r="G22" s="83">
        <v>3</v>
      </c>
      <c r="H22" s="83">
        <v>5</v>
      </c>
    </row>
    <row r="23" spans="1:8">
      <c r="A23" s="83" t="s">
        <v>348</v>
      </c>
      <c r="B23" s="83" t="s">
        <v>323</v>
      </c>
      <c r="C23" s="83" t="s">
        <v>319</v>
      </c>
      <c r="D23" s="83">
        <v>1000</v>
      </c>
      <c r="E23" s="83">
        <v>1200</v>
      </c>
      <c r="F23" s="83">
        <v>6</v>
      </c>
      <c r="G23" s="83">
        <v>4</v>
      </c>
      <c r="H23" s="83">
        <v>8</v>
      </c>
    </row>
    <row r="24" spans="1:8">
      <c r="A24" s="83" t="s">
        <v>349</v>
      </c>
      <c r="B24" s="83" t="s">
        <v>318</v>
      </c>
      <c r="C24" s="83" t="s">
        <v>319</v>
      </c>
      <c r="D24" s="83">
        <v>700</v>
      </c>
      <c r="E24" s="83">
        <v>800</v>
      </c>
      <c r="F24" s="83">
        <v>5</v>
      </c>
      <c r="G24" s="83">
        <v>2</v>
      </c>
      <c r="H24" s="83">
        <v>1</v>
      </c>
    </row>
    <row r="25" spans="1:8">
      <c r="A25" s="83" t="s">
        <v>350</v>
      </c>
      <c r="B25" s="83" t="s">
        <v>330</v>
      </c>
      <c r="C25" s="83" t="s">
        <v>316</v>
      </c>
      <c r="D25" s="83">
        <v>200</v>
      </c>
      <c r="E25" s="83">
        <v>300</v>
      </c>
      <c r="F25" s="83">
        <v>13</v>
      </c>
      <c r="G25" s="83">
        <v>2</v>
      </c>
      <c r="H25" s="83">
        <v>2</v>
      </c>
    </row>
    <row r="26" spans="1:8">
      <c r="A26" s="83" t="s">
        <v>351</v>
      </c>
      <c r="B26" s="83" t="s">
        <v>315</v>
      </c>
      <c r="C26" s="83" t="s">
        <v>325</v>
      </c>
      <c r="D26" s="83">
        <v>600</v>
      </c>
      <c r="E26" s="83">
        <v>500</v>
      </c>
      <c r="F26" s="83">
        <v>1</v>
      </c>
      <c r="G26" s="83">
        <v>1</v>
      </c>
      <c r="H26" s="83">
        <v>5</v>
      </c>
    </row>
    <row r="27" spans="1:8">
      <c r="A27" s="83" t="s">
        <v>352</v>
      </c>
      <c r="B27" s="83" t="s">
        <v>333</v>
      </c>
      <c r="C27" s="83" t="s">
        <v>316</v>
      </c>
      <c r="D27" s="83">
        <v>250</v>
      </c>
      <c r="E27" s="83">
        <v>300</v>
      </c>
      <c r="F27" s="83">
        <v>12</v>
      </c>
      <c r="G27" s="83">
        <v>3</v>
      </c>
      <c r="H27" s="83">
        <v>9</v>
      </c>
    </row>
    <row r="28" spans="1:8">
      <c r="A28" s="83" t="s">
        <v>353</v>
      </c>
      <c r="B28" s="83" t="s">
        <v>327</v>
      </c>
      <c r="C28" s="83" t="s">
        <v>319</v>
      </c>
      <c r="D28" s="83">
        <v>700</v>
      </c>
      <c r="E28" s="83">
        <v>600</v>
      </c>
      <c r="F28" s="83">
        <v>9</v>
      </c>
      <c r="G28" s="83">
        <v>2</v>
      </c>
      <c r="H28" s="83">
        <v>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24"/>
  <sheetViews>
    <sheetView workbookViewId="0"/>
  </sheetViews>
  <sheetFormatPr defaultRowHeight="16.5"/>
  <cols>
    <col min="2" max="4" width="10" bestFit="1" customWidth="1"/>
  </cols>
  <sheetData>
    <row r="1" spans="1:10">
      <c r="A1" s="3" t="s">
        <v>8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4" t="s">
        <v>11</v>
      </c>
      <c r="B2" s="4" t="s">
        <v>12</v>
      </c>
      <c r="C2" s="4" t="s">
        <v>5</v>
      </c>
      <c r="D2" s="4" t="s">
        <v>6</v>
      </c>
      <c r="E2" s="3"/>
      <c r="F2" s="3"/>
      <c r="G2" s="3"/>
      <c r="H2" s="3"/>
      <c r="I2" s="3"/>
      <c r="J2" s="3"/>
    </row>
    <row r="3" spans="1:10">
      <c r="A3" s="4" t="s">
        <v>13</v>
      </c>
      <c r="B3" s="5">
        <v>26954</v>
      </c>
      <c r="C3" s="5">
        <v>99953</v>
      </c>
      <c r="D3" s="5">
        <v>58735</v>
      </c>
      <c r="E3" s="3"/>
      <c r="F3" s="3"/>
      <c r="G3" s="3"/>
      <c r="H3" s="3"/>
      <c r="I3" s="3"/>
      <c r="J3" s="3"/>
    </row>
    <row r="4" spans="1:10">
      <c r="A4" s="4" t="s">
        <v>14</v>
      </c>
      <c r="B4" s="5">
        <v>61936</v>
      </c>
      <c r="C4" s="5">
        <v>54840</v>
      </c>
      <c r="D4" s="5">
        <v>1841</v>
      </c>
      <c r="E4" s="3"/>
      <c r="F4" s="3"/>
      <c r="G4" s="3"/>
      <c r="H4" s="3"/>
      <c r="I4" s="3"/>
      <c r="J4" s="3"/>
    </row>
    <row r="5" spans="1:10">
      <c r="A5" s="4" t="s">
        <v>15</v>
      </c>
      <c r="B5" s="5">
        <v>89745</v>
      </c>
      <c r="C5" s="5">
        <v>98119</v>
      </c>
      <c r="D5" s="5">
        <v>44002</v>
      </c>
      <c r="E5" s="3"/>
      <c r="F5" s="3"/>
      <c r="G5" s="3"/>
      <c r="H5" s="3"/>
      <c r="I5" s="3"/>
      <c r="J5" s="3"/>
    </row>
    <row r="6" spans="1:10">
      <c r="A6" s="4" t="s">
        <v>16</v>
      </c>
      <c r="B6" s="5">
        <v>8672</v>
      </c>
      <c r="C6" s="5">
        <v>66419</v>
      </c>
      <c r="D6" s="5">
        <v>18661</v>
      </c>
      <c r="E6" s="3"/>
      <c r="F6" s="3"/>
      <c r="G6" s="3"/>
      <c r="H6" s="3"/>
      <c r="I6" s="3"/>
      <c r="J6" s="3"/>
    </row>
    <row r="7" spans="1:10">
      <c r="A7" s="4" t="s">
        <v>17</v>
      </c>
      <c r="B7" s="5">
        <v>89676</v>
      </c>
      <c r="C7" s="5">
        <v>89793</v>
      </c>
      <c r="D7" s="5">
        <v>80495</v>
      </c>
      <c r="E7" s="3"/>
      <c r="F7" s="3"/>
      <c r="G7" s="3"/>
      <c r="H7" s="3"/>
      <c r="I7" s="3"/>
      <c r="J7" s="3"/>
    </row>
    <row r="8" spans="1:10">
      <c r="A8" s="3"/>
      <c r="B8" s="3"/>
      <c r="C8" s="3"/>
      <c r="D8" s="3"/>
      <c r="E8" s="3"/>
      <c r="F8" s="3"/>
      <c r="G8" s="3"/>
      <c r="H8" s="3"/>
      <c r="I8" s="3"/>
      <c r="J8" s="3"/>
    </row>
    <row r="9" spans="1:10">
      <c r="A9" s="3"/>
      <c r="B9" s="3"/>
      <c r="C9" s="3"/>
      <c r="D9" s="3"/>
      <c r="E9" s="3"/>
      <c r="F9" s="3"/>
      <c r="G9" s="115" t="s">
        <v>18</v>
      </c>
      <c r="H9" s="115"/>
      <c r="I9" s="115"/>
      <c r="J9" s="115"/>
    </row>
    <row r="10" spans="1:10">
      <c r="A10" s="3" t="s">
        <v>9</v>
      </c>
      <c r="B10" s="3"/>
      <c r="C10" s="3"/>
      <c r="D10" s="3"/>
      <c r="E10" s="3"/>
      <c r="F10" s="3"/>
      <c r="G10" s="4" t="s">
        <v>11</v>
      </c>
      <c r="H10" s="4" t="s">
        <v>12</v>
      </c>
      <c r="I10" s="4" t="s">
        <v>5</v>
      </c>
      <c r="J10" s="4" t="s">
        <v>6</v>
      </c>
    </row>
    <row r="11" spans="1:10">
      <c r="A11" s="4" t="s">
        <v>11</v>
      </c>
      <c r="B11" s="4" t="s">
        <v>12</v>
      </c>
      <c r="C11" s="4" t="s">
        <v>19</v>
      </c>
      <c r="D11" s="4" t="s">
        <v>20</v>
      </c>
      <c r="E11" s="3"/>
      <c r="F11" s="3"/>
      <c r="G11" s="4" t="s">
        <v>13</v>
      </c>
      <c r="H11" s="6"/>
      <c r="I11" s="6"/>
      <c r="J11" s="6"/>
    </row>
    <row r="12" spans="1:10">
      <c r="A12" s="4" t="s">
        <v>13</v>
      </c>
      <c r="B12" s="5">
        <v>83248</v>
      </c>
      <c r="C12" s="5">
        <v>17031</v>
      </c>
      <c r="D12" s="5">
        <v>3441</v>
      </c>
      <c r="E12" s="3"/>
      <c r="F12" s="3"/>
      <c r="G12" s="4" t="s">
        <v>14</v>
      </c>
      <c r="H12" s="6"/>
      <c r="I12" s="6"/>
      <c r="J12" s="6"/>
    </row>
    <row r="13" spans="1:10">
      <c r="A13" s="4" t="s">
        <v>14</v>
      </c>
      <c r="B13" s="5">
        <v>86710</v>
      </c>
      <c r="C13" s="5">
        <v>36062</v>
      </c>
      <c r="D13" s="5">
        <v>58855</v>
      </c>
      <c r="E13" s="3"/>
      <c r="F13" s="3"/>
      <c r="G13" s="4" t="s">
        <v>15</v>
      </c>
      <c r="H13" s="6"/>
      <c r="I13" s="6"/>
      <c r="J13" s="6"/>
    </row>
    <row r="14" spans="1:10">
      <c r="A14" s="4" t="s">
        <v>15</v>
      </c>
      <c r="B14" s="5">
        <v>66189</v>
      </c>
      <c r="C14" s="5">
        <v>7570</v>
      </c>
      <c r="D14" s="5">
        <v>14183</v>
      </c>
      <c r="E14" s="3"/>
      <c r="F14" s="3"/>
      <c r="G14" s="4" t="s">
        <v>16</v>
      </c>
      <c r="H14" s="6"/>
      <c r="I14" s="6"/>
      <c r="J14" s="6"/>
    </row>
    <row r="15" spans="1:10">
      <c r="A15" s="4" t="s">
        <v>16</v>
      </c>
      <c r="B15" s="5">
        <v>25771</v>
      </c>
      <c r="C15" s="5">
        <v>95378</v>
      </c>
      <c r="D15" s="5">
        <v>21227</v>
      </c>
      <c r="E15" s="3"/>
      <c r="F15" s="3"/>
      <c r="G15" s="4" t="s">
        <v>17</v>
      </c>
      <c r="H15" s="6"/>
      <c r="I15" s="6"/>
      <c r="J15" s="6"/>
    </row>
    <row r="16" spans="1:10">
      <c r="A16" s="4" t="s">
        <v>17</v>
      </c>
      <c r="B16" s="5">
        <v>52673</v>
      </c>
      <c r="C16" s="5">
        <v>78162</v>
      </c>
      <c r="D16" s="5">
        <v>39747</v>
      </c>
      <c r="E16" s="3"/>
      <c r="F16" s="3"/>
      <c r="G16" s="3"/>
      <c r="H16" s="3"/>
      <c r="I16" s="3"/>
      <c r="J16" s="3"/>
    </row>
    <row r="17" spans="1:10">
      <c r="A17" s="3"/>
      <c r="B17" s="3"/>
      <c r="C17" s="3"/>
      <c r="D17" s="3"/>
      <c r="E17" s="3"/>
      <c r="F17" s="3"/>
      <c r="G17" s="3"/>
      <c r="H17" s="3"/>
      <c r="I17" s="3"/>
      <c r="J17" s="3"/>
    </row>
    <row r="18" spans="1:10">
      <c r="A18" s="3" t="s">
        <v>10</v>
      </c>
      <c r="B18" s="3"/>
      <c r="C18" s="3"/>
      <c r="D18" s="3"/>
      <c r="E18" s="3"/>
      <c r="F18" s="3"/>
      <c r="G18" s="115" t="s">
        <v>21</v>
      </c>
      <c r="H18" s="115"/>
      <c r="I18" s="115"/>
      <c r="J18" s="115"/>
    </row>
    <row r="19" spans="1:10">
      <c r="A19" s="4" t="s">
        <v>11</v>
      </c>
      <c r="B19" s="4" t="s">
        <v>12</v>
      </c>
      <c r="C19" s="4" t="s">
        <v>5</v>
      </c>
      <c r="D19" s="4" t="s">
        <v>6</v>
      </c>
      <c r="E19" s="3"/>
      <c r="F19" s="3"/>
      <c r="G19" s="4" t="s">
        <v>11</v>
      </c>
      <c r="H19" s="4" t="s">
        <v>12</v>
      </c>
      <c r="I19" s="4" t="s">
        <v>5</v>
      </c>
      <c r="J19" s="4" t="s">
        <v>6</v>
      </c>
    </row>
    <row r="20" spans="1:10">
      <c r="A20" s="4" t="s">
        <v>13</v>
      </c>
      <c r="B20" s="5">
        <v>16384</v>
      </c>
      <c r="C20" s="5">
        <v>23083</v>
      </c>
      <c r="D20" s="5">
        <v>75919</v>
      </c>
      <c r="E20" s="3"/>
      <c r="F20" s="3"/>
      <c r="G20" s="4" t="s">
        <v>13</v>
      </c>
      <c r="H20" s="6"/>
      <c r="I20" s="6"/>
      <c r="J20" s="6"/>
    </row>
    <row r="21" spans="1:10">
      <c r="A21" s="4" t="s">
        <v>14</v>
      </c>
      <c r="B21" s="5">
        <v>97165</v>
      </c>
      <c r="C21" s="5">
        <v>91526</v>
      </c>
      <c r="D21" s="5">
        <v>64461</v>
      </c>
      <c r="E21" s="3"/>
      <c r="F21" s="3"/>
      <c r="G21" s="4" t="s">
        <v>14</v>
      </c>
      <c r="H21" s="6"/>
      <c r="I21" s="6"/>
      <c r="J21" s="6"/>
    </row>
    <row r="22" spans="1:10">
      <c r="A22" s="4" t="s">
        <v>15</v>
      </c>
      <c r="B22" s="5">
        <v>88641</v>
      </c>
      <c r="C22" s="5">
        <v>9222</v>
      </c>
      <c r="D22" s="5">
        <v>94185</v>
      </c>
      <c r="E22" s="3"/>
      <c r="F22" s="3"/>
      <c r="G22" s="4" t="s">
        <v>15</v>
      </c>
      <c r="H22" s="6"/>
      <c r="I22" s="6"/>
      <c r="J22" s="6"/>
    </row>
    <row r="23" spans="1:10">
      <c r="A23" s="4" t="s">
        <v>16</v>
      </c>
      <c r="B23" s="5">
        <v>35360</v>
      </c>
      <c r="C23" s="5">
        <v>29785</v>
      </c>
      <c r="D23" s="5">
        <v>11527</v>
      </c>
      <c r="E23" s="3"/>
      <c r="F23" s="3"/>
      <c r="G23" s="4" t="s">
        <v>16</v>
      </c>
      <c r="H23" s="6"/>
      <c r="I23" s="6"/>
      <c r="J23" s="6"/>
    </row>
    <row r="24" spans="1:10">
      <c r="A24" s="4" t="s">
        <v>17</v>
      </c>
      <c r="B24" s="5">
        <v>28245</v>
      </c>
      <c r="C24" s="5">
        <v>6548</v>
      </c>
      <c r="D24" s="5">
        <v>19700</v>
      </c>
      <c r="E24" s="3"/>
      <c r="F24" s="3"/>
      <c r="G24" s="4" t="s">
        <v>17</v>
      </c>
      <c r="H24" s="6"/>
      <c r="I24" s="6"/>
      <c r="J24" s="6"/>
    </row>
  </sheetData>
  <dataConsolidate topLabels="1"/>
  <mergeCells count="2">
    <mergeCell ref="G9:J9"/>
    <mergeCell ref="G18:J18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4"/>
  <sheetViews>
    <sheetView workbookViewId="0"/>
  </sheetViews>
  <sheetFormatPr defaultRowHeight="16.5"/>
  <cols>
    <col min="2" max="4" width="10" bestFit="1" customWidth="1"/>
  </cols>
  <sheetData>
    <row r="1" spans="1:10">
      <c r="A1" s="3" t="s">
        <v>8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4" t="s">
        <v>11</v>
      </c>
      <c r="B2" s="4" t="s">
        <v>12</v>
      </c>
      <c r="C2" s="4" t="s">
        <v>5</v>
      </c>
      <c r="D2" s="4" t="s">
        <v>6</v>
      </c>
      <c r="E2" s="3"/>
      <c r="F2" s="3"/>
      <c r="G2" s="3"/>
      <c r="H2" s="3"/>
      <c r="I2" s="3"/>
      <c r="J2" s="3"/>
    </row>
    <row r="3" spans="1:10">
      <c r="A3" s="4" t="s">
        <v>13</v>
      </c>
      <c r="B3" s="5">
        <v>26954</v>
      </c>
      <c r="C3" s="5">
        <v>99953</v>
      </c>
      <c r="D3" s="5">
        <v>58735</v>
      </c>
      <c r="E3" s="3"/>
      <c r="F3" s="3"/>
      <c r="G3" s="3"/>
      <c r="H3" s="3"/>
      <c r="I3" s="3"/>
      <c r="J3" s="3"/>
    </row>
    <row r="4" spans="1:10">
      <c r="A4" s="4" t="s">
        <v>14</v>
      </c>
      <c r="B4" s="5">
        <v>61936</v>
      </c>
      <c r="C4" s="5">
        <v>54840</v>
      </c>
      <c r="D4" s="5">
        <v>1841</v>
      </c>
      <c r="E4" s="3"/>
      <c r="F4" s="3"/>
      <c r="G4" s="3"/>
      <c r="H4" s="3"/>
      <c r="I4" s="3"/>
      <c r="J4" s="3"/>
    </row>
    <row r="5" spans="1:10">
      <c r="A5" s="4" t="s">
        <v>15</v>
      </c>
      <c r="B5" s="5">
        <v>89745</v>
      </c>
      <c r="C5" s="5">
        <v>98119</v>
      </c>
      <c r="D5" s="5">
        <v>44002</v>
      </c>
      <c r="E5" s="3"/>
      <c r="F5" s="3"/>
      <c r="G5" s="3"/>
      <c r="H5" s="3"/>
      <c r="I5" s="3"/>
      <c r="J5" s="3"/>
    </row>
    <row r="6" spans="1:10">
      <c r="A6" s="4" t="s">
        <v>16</v>
      </c>
      <c r="B6" s="5">
        <v>8672</v>
      </c>
      <c r="C6" s="5">
        <v>66419</v>
      </c>
      <c r="D6" s="5">
        <v>18661</v>
      </c>
      <c r="E6" s="3"/>
      <c r="F6" s="3"/>
      <c r="G6" s="3"/>
      <c r="H6" s="3"/>
      <c r="I6" s="3"/>
      <c r="J6" s="3"/>
    </row>
    <row r="7" spans="1:10">
      <c r="A7" s="4" t="s">
        <v>17</v>
      </c>
      <c r="B7" s="5">
        <v>89676</v>
      </c>
      <c r="C7" s="5">
        <v>89793</v>
      </c>
      <c r="D7" s="5">
        <v>80495</v>
      </c>
      <c r="E7" s="3"/>
      <c r="F7" s="3"/>
      <c r="G7" s="3"/>
      <c r="H7" s="3"/>
      <c r="I7" s="3"/>
      <c r="J7" s="3"/>
    </row>
    <row r="8" spans="1:10">
      <c r="A8" s="3"/>
      <c r="B8" s="3"/>
      <c r="C8" s="3"/>
      <c r="D8" s="3"/>
      <c r="E8" s="3"/>
      <c r="F8" s="3"/>
      <c r="G8" s="3"/>
      <c r="H8" s="3"/>
      <c r="I8" s="3"/>
      <c r="J8" s="3"/>
    </row>
    <row r="9" spans="1:10">
      <c r="A9" s="3"/>
      <c r="B9" s="3"/>
      <c r="C9" s="3"/>
      <c r="D9" s="3"/>
      <c r="E9" s="3"/>
      <c r="F9" s="3"/>
      <c r="G9" s="115" t="s">
        <v>18</v>
      </c>
      <c r="H9" s="115"/>
      <c r="I9" s="115"/>
      <c r="J9" s="115"/>
    </row>
    <row r="10" spans="1:10">
      <c r="A10" s="3" t="s">
        <v>9</v>
      </c>
      <c r="B10" s="3"/>
      <c r="C10" s="3"/>
      <c r="D10" s="3"/>
      <c r="E10" s="3"/>
      <c r="F10" s="3"/>
      <c r="G10" s="4" t="s">
        <v>11</v>
      </c>
      <c r="H10" s="4" t="s">
        <v>12</v>
      </c>
      <c r="I10" s="4" t="s">
        <v>5</v>
      </c>
      <c r="J10" s="4" t="s">
        <v>6</v>
      </c>
    </row>
    <row r="11" spans="1:10">
      <c r="A11" s="4" t="s">
        <v>11</v>
      </c>
      <c r="B11" s="4" t="s">
        <v>12</v>
      </c>
      <c r="C11" s="4" t="s">
        <v>19</v>
      </c>
      <c r="D11" s="4" t="s">
        <v>20</v>
      </c>
      <c r="E11" s="3"/>
      <c r="F11" s="3"/>
      <c r="G11" s="4" t="s">
        <v>13</v>
      </c>
      <c r="H11" s="6">
        <v>126586</v>
      </c>
      <c r="I11" s="6">
        <v>123036</v>
      </c>
      <c r="J11" s="6">
        <v>134654</v>
      </c>
    </row>
    <row r="12" spans="1:10">
      <c r="A12" s="4" t="s">
        <v>13</v>
      </c>
      <c r="B12" s="5">
        <v>83248</v>
      </c>
      <c r="C12" s="5">
        <v>17031</v>
      </c>
      <c r="D12" s="5">
        <v>3441</v>
      </c>
      <c r="E12" s="3"/>
      <c r="F12" s="3"/>
      <c r="G12" s="4" t="s">
        <v>14</v>
      </c>
      <c r="H12" s="6">
        <v>245811</v>
      </c>
      <c r="I12" s="6">
        <v>146366</v>
      </c>
      <c r="J12" s="6">
        <v>66302</v>
      </c>
    </row>
    <row r="13" spans="1:10">
      <c r="A13" s="4" t="s">
        <v>14</v>
      </c>
      <c r="B13" s="5">
        <v>86710</v>
      </c>
      <c r="C13" s="5">
        <v>36062</v>
      </c>
      <c r="D13" s="5">
        <v>58855</v>
      </c>
      <c r="E13" s="3"/>
      <c r="F13" s="3"/>
      <c r="G13" s="4" t="s">
        <v>15</v>
      </c>
      <c r="H13" s="6">
        <v>244575</v>
      </c>
      <c r="I13" s="6">
        <v>107341</v>
      </c>
      <c r="J13" s="6">
        <v>138187</v>
      </c>
    </row>
    <row r="14" spans="1:10">
      <c r="A14" s="4" t="s">
        <v>15</v>
      </c>
      <c r="B14" s="5">
        <v>66189</v>
      </c>
      <c r="C14" s="5">
        <v>7570</v>
      </c>
      <c r="D14" s="5">
        <v>14183</v>
      </c>
      <c r="E14" s="3"/>
      <c r="F14" s="3"/>
      <c r="G14" s="4" t="s">
        <v>16</v>
      </c>
      <c r="H14" s="6">
        <v>69803</v>
      </c>
      <c r="I14" s="6">
        <v>96204</v>
      </c>
      <c r="J14" s="6">
        <v>30188</v>
      </c>
    </row>
    <row r="15" spans="1:10">
      <c r="A15" s="4" t="s">
        <v>16</v>
      </c>
      <c r="B15" s="5">
        <v>25771</v>
      </c>
      <c r="C15" s="5">
        <v>95378</v>
      </c>
      <c r="D15" s="5">
        <v>21227</v>
      </c>
      <c r="E15" s="3"/>
      <c r="F15" s="3"/>
      <c r="G15" s="4" t="s">
        <v>17</v>
      </c>
      <c r="H15" s="6">
        <v>170594</v>
      </c>
      <c r="I15" s="6">
        <v>96341</v>
      </c>
      <c r="J15" s="6">
        <v>100195</v>
      </c>
    </row>
    <row r="16" spans="1:10">
      <c r="A16" s="4" t="s">
        <v>17</v>
      </c>
      <c r="B16" s="5">
        <v>52673</v>
      </c>
      <c r="C16" s="5">
        <v>78162</v>
      </c>
      <c r="D16" s="5">
        <v>39747</v>
      </c>
      <c r="E16" s="3"/>
      <c r="F16" s="3"/>
      <c r="G16" s="3"/>
      <c r="H16" s="3"/>
      <c r="I16" s="3"/>
      <c r="J16" s="3"/>
    </row>
    <row r="17" spans="1:10">
      <c r="A17" s="3"/>
      <c r="B17" s="3"/>
      <c r="C17" s="3"/>
      <c r="D17" s="3"/>
      <c r="E17" s="3"/>
      <c r="F17" s="3"/>
      <c r="G17" s="3"/>
      <c r="H17" s="3"/>
      <c r="I17" s="3"/>
      <c r="J17" s="3"/>
    </row>
    <row r="18" spans="1:10">
      <c r="A18" s="3" t="s">
        <v>10</v>
      </c>
      <c r="B18" s="3"/>
      <c r="C18" s="3"/>
      <c r="D18" s="3"/>
      <c r="E18" s="3"/>
      <c r="F18" s="3"/>
      <c r="G18" s="115" t="s">
        <v>21</v>
      </c>
      <c r="H18" s="115"/>
      <c r="I18" s="115"/>
      <c r="J18" s="115"/>
    </row>
    <row r="19" spans="1:10">
      <c r="A19" s="4" t="s">
        <v>11</v>
      </c>
      <c r="B19" s="4" t="s">
        <v>12</v>
      </c>
      <c r="C19" s="4" t="s">
        <v>5</v>
      </c>
      <c r="D19" s="4" t="s">
        <v>6</v>
      </c>
      <c r="E19" s="3"/>
      <c r="F19" s="3"/>
      <c r="G19" s="4" t="s">
        <v>11</v>
      </c>
      <c r="H19" s="4" t="s">
        <v>12</v>
      </c>
      <c r="I19" s="4" t="s">
        <v>5</v>
      </c>
      <c r="J19" s="4" t="s">
        <v>6</v>
      </c>
    </row>
    <row r="20" spans="1:10">
      <c r="A20" s="4" t="s">
        <v>13</v>
      </c>
      <c r="B20" s="5">
        <v>16384</v>
      </c>
      <c r="C20" s="5">
        <v>23083</v>
      </c>
      <c r="D20" s="5">
        <v>75919</v>
      </c>
      <c r="E20" s="3"/>
      <c r="F20" s="3"/>
      <c r="G20" s="4" t="s">
        <v>13</v>
      </c>
      <c r="H20" s="6">
        <v>3</v>
      </c>
      <c r="I20" s="6">
        <v>2</v>
      </c>
      <c r="J20" s="6">
        <v>2</v>
      </c>
    </row>
    <row r="21" spans="1:10">
      <c r="A21" s="4" t="s">
        <v>14</v>
      </c>
      <c r="B21" s="5">
        <v>97165</v>
      </c>
      <c r="C21" s="5">
        <v>91526</v>
      </c>
      <c r="D21" s="5">
        <v>64461</v>
      </c>
      <c r="E21" s="3"/>
      <c r="F21" s="3"/>
      <c r="G21" s="4" t="s">
        <v>14</v>
      </c>
      <c r="H21" s="6">
        <v>3</v>
      </c>
      <c r="I21" s="6">
        <v>2</v>
      </c>
      <c r="J21" s="6">
        <v>2</v>
      </c>
    </row>
    <row r="22" spans="1:10">
      <c r="A22" s="4" t="s">
        <v>15</v>
      </c>
      <c r="B22" s="5">
        <v>88641</v>
      </c>
      <c r="C22" s="5">
        <v>9222</v>
      </c>
      <c r="D22" s="5">
        <v>94185</v>
      </c>
      <c r="E22" s="3"/>
      <c r="F22" s="3"/>
      <c r="G22" s="4" t="s">
        <v>15</v>
      </c>
      <c r="H22" s="6">
        <v>3</v>
      </c>
      <c r="I22" s="6">
        <v>2</v>
      </c>
      <c r="J22" s="6">
        <v>2</v>
      </c>
    </row>
    <row r="23" spans="1:10">
      <c r="A23" s="4" t="s">
        <v>16</v>
      </c>
      <c r="B23" s="5">
        <v>35360</v>
      </c>
      <c r="C23" s="5">
        <v>29785</v>
      </c>
      <c r="D23" s="5">
        <v>11527</v>
      </c>
      <c r="E23" s="3"/>
      <c r="F23" s="3"/>
      <c r="G23" s="4" t="s">
        <v>16</v>
      </c>
      <c r="H23" s="6">
        <v>3</v>
      </c>
      <c r="I23" s="6">
        <v>2</v>
      </c>
      <c r="J23" s="6">
        <v>2</v>
      </c>
    </row>
    <row r="24" spans="1:10">
      <c r="A24" s="4" t="s">
        <v>17</v>
      </c>
      <c r="B24" s="5">
        <v>28245</v>
      </c>
      <c r="C24" s="5">
        <v>6548</v>
      </c>
      <c r="D24" s="5">
        <v>19700</v>
      </c>
      <c r="E24" s="3"/>
      <c r="F24" s="3"/>
      <c r="G24" s="4" t="s">
        <v>17</v>
      </c>
      <c r="H24" s="6">
        <v>3</v>
      </c>
      <c r="I24" s="6">
        <v>2</v>
      </c>
      <c r="J24" s="6">
        <v>2</v>
      </c>
    </row>
  </sheetData>
  <dataConsolidate function="count" topLabels="1">
    <dataRefs count="3">
      <dataRef ref="A2:D7" sheet="통합1(결과)"/>
      <dataRef ref="A11:D16" sheet="통합1(결과)"/>
      <dataRef ref="A19:D24" sheet="통합1(결과)"/>
    </dataRefs>
  </dataConsolidate>
  <mergeCells count="2">
    <mergeCell ref="G9:J9"/>
    <mergeCell ref="G18:J18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"/>
  <sheetViews>
    <sheetView workbookViewId="0"/>
  </sheetViews>
  <sheetFormatPr defaultRowHeight="16.5"/>
  <cols>
    <col min="2" max="2" width="10.875" bestFit="1" customWidth="1"/>
    <col min="3" max="4" width="9.5" bestFit="1" customWidth="1"/>
    <col min="5" max="5" width="10.875" bestFit="1" customWidth="1"/>
    <col min="8" max="11" width="10.75" customWidth="1"/>
  </cols>
  <sheetData>
    <row r="1" spans="1:11">
      <c r="A1" s="7" t="s">
        <v>37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>
      <c r="A2" s="8" t="s">
        <v>27</v>
      </c>
      <c r="B2" s="8" t="s">
        <v>28</v>
      </c>
      <c r="C2" s="8" t="s">
        <v>29</v>
      </c>
      <c r="D2" s="8" t="s">
        <v>41</v>
      </c>
      <c r="E2" s="8" t="s">
        <v>31</v>
      </c>
      <c r="F2" s="3"/>
      <c r="G2" s="3"/>
      <c r="H2" s="3"/>
      <c r="I2" s="3"/>
      <c r="J2" s="3"/>
      <c r="K2" s="3"/>
    </row>
    <row r="3" spans="1:11">
      <c r="A3" s="4" t="s">
        <v>22</v>
      </c>
      <c r="B3" s="5">
        <v>850000</v>
      </c>
      <c r="C3" s="5">
        <v>214000</v>
      </c>
      <c r="D3" s="5">
        <v>106400</v>
      </c>
      <c r="E3" s="5">
        <v>957600</v>
      </c>
      <c r="F3" s="3"/>
      <c r="G3" s="3"/>
      <c r="H3" s="3"/>
      <c r="I3" s="3"/>
      <c r="J3" s="3"/>
      <c r="K3" s="3"/>
    </row>
    <row r="4" spans="1:11">
      <c r="A4" s="4" t="s">
        <v>23</v>
      </c>
      <c r="B4" s="5">
        <v>750000</v>
      </c>
      <c r="C4" s="5">
        <v>247000</v>
      </c>
      <c r="D4" s="5">
        <v>99700</v>
      </c>
      <c r="E4" s="5">
        <v>897300</v>
      </c>
      <c r="F4" s="3"/>
      <c r="G4" s="3" t="s">
        <v>26</v>
      </c>
      <c r="H4" s="3"/>
      <c r="I4" s="3"/>
      <c r="J4" s="3"/>
      <c r="K4" s="3"/>
    </row>
    <row r="5" spans="1:11">
      <c r="A5" s="4" t="s">
        <v>24</v>
      </c>
      <c r="B5" s="5">
        <v>900000</v>
      </c>
      <c r="C5" s="5">
        <v>130000</v>
      </c>
      <c r="D5" s="5">
        <v>103000</v>
      </c>
      <c r="E5" s="5">
        <v>927000</v>
      </c>
      <c r="F5" s="3"/>
      <c r="G5" s="8" t="s">
        <v>27</v>
      </c>
      <c r="H5" s="8" t="s">
        <v>28</v>
      </c>
      <c r="I5" s="8" t="s">
        <v>29</v>
      </c>
      <c r="J5" s="8" t="s">
        <v>30</v>
      </c>
      <c r="K5" s="8" t="s">
        <v>31</v>
      </c>
    </row>
    <row r="6" spans="1:11">
      <c r="A6" s="4" t="s">
        <v>25</v>
      </c>
      <c r="B6" s="5">
        <v>750000</v>
      </c>
      <c r="C6" s="5">
        <v>204000</v>
      </c>
      <c r="D6" s="5">
        <v>95400</v>
      </c>
      <c r="E6" s="5">
        <v>858600</v>
      </c>
      <c r="F6" s="3"/>
      <c r="G6" s="4" t="s">
        <v>22</v>
      </c>
      <c r="H6" s="11"/>
      <c r="I6" s="11"/>
      <c r="J6" s="11"/>
      <c r="K6" s="11"/>
    </row>
    <row r="7" spans="1:11">
      <c r="A7" s="3"/>
      <c r="B7" s="3"/>
      <c r="C7" s="3"/>
      <c r="D7" s="3"/>
      <c r="E7" s="3"/>
      <c r="F7" s="3"/>
      <c r="G7" s="4" t="s">
        <v>23</v>
      </c>
      <c r="H7" s="11"/>
      <c r="I7" s="11"/>
      <c r="J7" s="11"/>
      <c r="K7" s="11"/>
    </row>
    <row r="8" spans="1:11">
      <c r="A8" s="7" t="s">
        <v>32</v>
      </c>
      <c r="B8" s="3"/>
      <c r="C8" s="3"/>
      <c r="D8" s="3"/>
      <c r="E8" s="3"/>
      <c r="F8" s="3"/>
      <c r="G8" s="4" t="s">
        <v>24</v>
      </c>
      <c r="H8" s="11"/>
      <c r="I8" s="11"/>
      <c r="J8" s="11"/>
      <c r="K8" s="11"/>
    </row>
    <row r="9" spans="1:11">
      <c r="A9" s="8" t="s">
        <v>27</v>
      </c>
      <c r="B9" s="8" t="s">
        <v>28</v>
      </c>
      <c r="C9" s="8" t="s">
        <v>29</v>
      </c>
      <c r="D9" s="8" t="s">
        <v>30</v>
      </c>
      <c r="E9" s="8" t="s">
        <v>33</v>
      </c>
      <c r="F9" s="3"/>
      <c r="G9" s="4" t="s">
        <v>25</v>
      </c>
      <c r="H9" s="11"/>
      <c r="I9" s="11"/>
      <c r="J9" s="11"/>
      <c r="K9" s="11"/>
    </row>
    <row r="10" spans="1:11">
      <c r="A10" s="4" t="s">
        <v>22</v>
      </c>
      <c r="B10" s="5">
        <v>900000</v>
      </c>
      <c r="C10" s="5">
        <v>141000</v>
      </c>
      <c r="D10" s="5">
        <v>104100</v>
      </c>
      <c r="E10" s="5">
        <v>936900</v>
      </c>
      <c r="F10" s="3"/>
      <c r="G10" s="3"/>
      <c r="H10" s="3"/>
      <c r="I10" s="3"/>
      <c r="J10" s="3"/>
      <c r="K10" s="3"/>
    </row>
    <row r="11" spans="1:11">
      <c r="A11" s="4" t="s">
        <v>23</v>
      </c>
      <c r="B11" s="5">
        <v>1000000</v>
      </c>
      <c r="C11" s="5">
        <v>107000</v>
      </c>
      <c r="D11" s="5">
        <v>110700</v>
      </c>
      <c r="E11" s="5">
        <v>996300</v>
      </c>
      <c r="F11" s="3"/>
      <c r="G11" s="3" t="s">
        <v>34</v>
      </c>
      <c r="H11" s="3"/>
      <c r="I11" s="3"/>
      <c r="J11" s="3"/>
      <c r="K11" s="3"/>
    </row>
    <row r="12" spans="1:11">
      <c r="A12" s="4" t="s">
        <v>24</v>
      </c>
      <c r="B12" s="5">
        <v>1000000</v>
      </c>
      <c r="C12" s="5">
        <v>112000</v>
      </c>
      <c r="D12" s="5">
        <v>111200</v>
      </c>
      <c r="E12" s="5">
        <v>1000800</v>
      </c>
      <c r="F12" s="3"/>
      <c r="G12" s="8" t="s">
        <v>27</v>
      </c>
      <c r="H12" s="8" t="s">
        <v>28</v>
      </c>
      <c r="I12" s="8" t="s">
        <v>29</v>
      </c>
      <c r="J12" s="8" t="s">
        <v>30</v>
      </c>
      <c r="K12" s="8" t="s">
        <v>31</v>
      </c>
    </row>
    <row r="13" spans="1:11">
      <c r="A13" s="4" t="s">
        <v>25</v>
      </c>
      <c r="B13" s="5">
        <v>1000000</v>
      </c>
      <c r="C13" s="5">
        <v>167000</v>
      </c>
      <c r="D13" s="5">
        <v>116700</v>
      </c>
      <c r="E13" s="5">
        <v>1050300</v>
      </c>
      <c r="F13" s="3"/>
      <c r="G13" s="4" t="s">
        <v>22</v>
      </c>
      <c r="H13" s="11"/>
      <c r="I13" s="11"/>
      <c r="J13" s="11"/>
      <c r="K13" s="11"/>
    </row>
    <row r="14" spans="1:11">
      <c r="A14" s="9"/>
      <c r="B14" s="9"/>
      <c r="C14" s="9"/>
      <c r="D14" s="9"/>
      <c r="E14" s="9"/>
      <c r="F14" s="3"/>
      <c r="G14" s="4" t="s">
        <v>23</v>
      </c>
      <c r="H14" s="11"/>
      <c r="I14" s="11"/>
      <c r="J14" s="11"/>
      <c r="K14" s="11"/>
    </row>
    <row r="15" spans="1:11">
      <c r="A15" s="7" t="s">
        <v>35</v>
      </c>
      <c r="B15" s="3"/>
      <c r="C15" s="3"/>
      <c r="D15" s="3"/>
      <c r="E15" s="3"/>
      <c r="F15" s="3"/>
      <c r="G15" s="4" t="s">
        <v>24</v>
      </c>
      <c r="H15" s="11"/>
      <c r="I15" s="11"/>
      <c r="J15" s="11"/>
      <c r="K15" s="11"/>
    </row>
    <row r="16" spans="1:11">
      <c r="A16" s="8" t="s">
        <v>27</v>
      </c>
      <c r="B16" s="8" t="s">
        <v>36</v>
      </c>
      <c r="C16" s="8" t="s">
        <v>29</v>
      </c>
      <c r="D16" s="8" t="s">
        <v>30</v>
      </c>
      <c r="E16" s="8" t="s">
        <v>31</v>
      </c>
      <c r="F16" s="3"/>
      <c r="G16" s="4" t="s">
        <v>25</v>
      </c>
      <c r="H16" s="11"/>
      <c r="I16" s="11"/>
      <c r="J16" s="11"/>
      <c r="K16" s="11"/>
    </row>
    <row r="17" spans="1:11">
      <c r="A17" s="4" t="s">
        <v>22</v>
      </c>
      <c r="B17" s="5">
        <v>850000</v>
      </c>
      <c r="C17" s="5">
        <v>242000</v>
      </c>
      <c r="D17" s="5">
        <v>109200</v>
      </c>
      <c r="E17" s="5">
        <v>982800</v>
      </c>
      <c r="F17" s="3"/>
      <c r="G17" s="3"/>
      <c r="H17" s="3"/>
      <c r="I17" s="3"/>
      <c r="J17" s="3"/>
      <c r="K17" s="3"/>
    </row>
    <row r="18" spans="1:11">
      <c r="A18" s="4" t="s">
        <v>23</v>
      </c>
      <c r="B18" s="5">
        <v>900000</v>
      </c>
      <c r="C18" s="5">
        <v>157000</v>
      </c>
      <c r="D18" s="5">
        <v>105700</v>
      </c>
      <c r="E18" s="5">
        <v>951300</v>
      </c>
      <c r="F18" s="3"/>
      <c r="G18" s="3"/>
      <c r="H18" s="3"/>
      <c r="I18" s="3"/>
      <c r="J18" s="3"/>
      <c r="K18" s="3"/>
    </row>
    <row r="19" spans="1:11">
      <c r="A19" s="4" t="s">
        <v>24</v>
      </c>
      <c r="B19" s="5">
        <v>1000000</v>
      </c>
      <c r="C19" s="5">
        <v>214000</v>
      </c>
      <c r="D19" s="5">
        <v>121400</v>
      </c>
      <c r="E19" s="5">
        <v>1092600</v>
      </c>
      <c r="F19" s="3"/>
      <c r="G19" s="3"/>
      <c r="H19" s="3"/>
      <c r="I19" s="3"/>
      <c r="J19" s="3"/>
      <c r="K19" s="3"/>
    </row>
    <row r="20" spans="1:11">
      <c r="A20" s="4" t="s">
        <v>25</v>
      </c>
      <c r="B20" s="5">
        <v>850000</v>
      </c>
      <c r="C20" s="5">
        <v>222000</v>
      </c>
      <c r="D20" s="5">
        <v>107200</v>
      </c>
      <c r="E20" s="5">
        <v>964800</v>
      </c>
      <c r="F20" s="3"/>
      <c r="G20" s="3"/>
      <c r="H20" s="3"/>
      <c r="I20" s="3"/>
      <c r="J20" s="3"/>
      <c r="K20" s="3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0"/>
  <sheetViews>
    <sheetView workbookViewId="0"/>
  </sheetViews>
  <sheetFormatPr defaultRowHeight="16.5"/>
  <cols>
    <col min="2" max="2" width="10.875" bestFit="1" customWidth="1"/>
    <col min="3" max="4" width="9.5" bestFit="1" customWidth="1"/>
    <col min="5" max="5" width="10.875" bestFit="1" customWidth="1"/>
    <col min="8" max="8" width="10.875" bestFit="1" customWidth="1"/>
    <col min="9" max="10" width="9.375" bestFit="1" customWidth="1"/>
    <col min="11" max="11" width="10.875" bestFit="1" customWidth="1"/>
  </cols>
  <sheetData>
    <row r="1" spans="1:11">
      <c r="A1" s="7" t="s">
        <v>37</v>
      </c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>
      <c r="A2" s="8" t="s">
        <v>38</v>
      </c>
      <c r="B2" s="8" t="s">
        <v>39</v>
      </c>
      <c r="C2" s="8" t="s">
        <v>40</v>
      </c>
      <c r="D2" s="8" t="s">
        <v>41</v>
      </c>
      <c r="E2" s="8" t="s">
        <v>42</v>
      </c>
      <c r="F2" s="3"/>
      <c r="G2" s="3"/>
      <c r="H2" s="3"/>
      <c r="I2" s="3"/>
      <c r="J2" s="3"/>
      <c r="K2" s="3"/>
    </row>
    <row r="3" spans="1:11">
      <c r="A3" s="4" t="s">
        <v>22</v>
      </c>
      <c r="B3" s="5">
        <v>850000</v>
      </c>
      <c r="C3" s="5">
        <v>214000</v>
      </c>
      <c r="D3" s="5">
        <v>106400</v>
      </c>
      <c r="E3" s="5">
        <v>957600</v>
      </c>
      <c r="F3" s="3"/>
      <c r="G3" s="3"/>
      <c r="H3" s="3"/>
      <c r="I3" s="3"/>
      <c r="J3" s="3"/>
      <c r="K3" s="3"/>
    </row>
    <row r="4" spans="1:11">
      <c r="A4" s="4" t="s">
        <v>23</v>
      </c>
      <c r="B4" s="5">
        <v>750000</v>
      </c>
      <c r="C4" s="5">
        <v>247000</v>
      </c>
      <c r="D4" s="5">
        <v>99700</v>
      </c>
      <c r="E4" s="5">
        <v>897300</v>
      </c>
      <c r="F4" s="3"/>
      <c r="G4" s="3" t="s">
        <v>26</v>
      </c>
      <c r="H4" s="3"/>
      <c r="I4" s="3"/>
      <c r="J4" s="3"/>
      <c r="K4" s="3"/>
    </row>
    <row r="5" spans="1:11">
      <c r="A5" s="4" t="s">
        <v>24</v>
      </c>
      <c r="B5" s="5">
        <v>900000</v>
      </c>
      <c r="C5" s="5">
        <v>130000</v>
      </c>
      <c r="D5" s="5">
        <v>103000</v>
      </c>
      <c r="E5" s="5">
        <v>927000</v>
      </c>
      <c r="F5" s="3"/>
      <c r="G5" s="8" t="s">
        <v>27</v>
      </c>
      <c r="H5" s="8" t="s">
        <v>28</v>
      </c>
      <c r="I5" s="8" t="s">
        <v>29</v>
      </c>
      <c r="J5" s="8" t="s">
        <v>30</v>
      </c>
      <c r="K5" s="8" t="s">
        <v>31</v>
      </c>
    </row>
    <row r="6" spans="1:11">
      <c r="A6" s="4" t="s">
        <v>25</v>
      </c>
      <c r="B6" s="5">
        <v>750000</v>
      </c>
      <c r="C6" s="5">
        <v>204000</v>
      </c>
      <c r="D6" s="5">
        <v>95400</v>
      </c>
      <c r="E6" s="5">
        <v>858600</v>
      </c>
      <c r="F6" s="3"/>
      <c r="G6" s="4" t="s">
        <v>22</v>
      </c>
      <c r="H6" s="85">
        <v>900000</v>
      </c>
      <c r="I6" s="85">
        <v>242000</v>
      </c>
      <c r="J6" s="85">
        <v>109200</v>
      </c>
      <c r="K6" s="85">
        <v>982800</v>
      </c>
    </row>
    <row r="7" spans="1:11">
      <c r="A7" s="3"/>
      <c r="B7" s="3"/>
      <c r="C7" s="3"/>
      <c r="D7" s="3"/>
      <c r="E7" s="3"/>
      <c r="F7" s="3"/>
      <c r="G7" s="4" t="s">
        <v>23</v>
      </c>
      <c r="H7" s="85">
        <v>1000000</v>
      </c>
      <c r="I7" s="85">
        <v>247000</v>
      </c>
      <c r="J7" s="85">
        <v>110700</v>
      </c>
      <c r="K7" s="85">
        <v>951300</v>
      </c>
    </row>
    <row r="8" spans="1:11">
      <c r="A8" s="7" t="s">
        <v>32</v>
      </c>
      <c r="B8" s="3"/>
      <c r="C8" s="3"/>
      <c r="D8" s="3"/>
      <c r="E8" s="3"/>
      <c r="F8" s="3"/>
      <c r="G8" s="4" t="s">
        <v>24</v>
      </c>
      <c r="H8" s="85">
        <v>1000000</v>
      </c>
      <c r="I8" s="85">
        <v>214000</v>
      </c>
      <c r="J8" s="85">
        <v>121400</v>
      </c>
      <c r="K8" s="85">
        <v>1092600</v>
      </c>
    </row>
    <row r="9" spans="1:11">
      <c r="A9" s="8" t="s">
        <v>27</v>
      </c>
      <c r="B9" s="8" t="s">
        <v>28</v>
      </c>
      <c r="C9" s="8" t="s">
        <v>29</v>
      </c>
      <c r="D9" s="8" t="s">
        <v>30</v>
      </c>
      <c r="E9" s="8" t="s">
        <v>33</v>
      </c>
      <c r="F9" s="3"/>
      <c r="G9" s="4" t="s">
        <v>25</v>
      </c>
      <c r="H9" s="85">
        <v>1000000</v>
      </c>
      <c r="I9" s="85">
        <v>222000</v>
      </c>
      <c r="J9" s="85">
        <v>116700</v>
      </c>
      <c r="K9" s="85">
        <v>964800</v>
      </c>
    </row>
    <row r="10" spans="1:11">
      <c r="A10" s="4" t="s">
        <v>22</v>
      </c>
      <c r="B10" s="5">
        <v>900000</v>
      </c>
      <c r="C10" s="5">
        <v>141000</v>
      </c>
      <c r="D10" s="5">
        <v>104100</v>
      </c>
      <c r="E10" s="5">
        <v>936900</v>
      </c>
      <c r="F10" s="3"/>
      <c r="G10" s="3"/>
      <c r="H10" s="3"/>
      <c r="I10" s="3"/>
      <c r="J10" s="3"/>
      <c r="K10" s="3"/>
    </row>
    <row r="11" spans="1:11">
      <c r="A11" s="4" t="s">
        <v>23</v>
      </c>
      <c r="B11" s="5">
        <v>1000000</v>
      </c>
      <c r="C11" s="5">
        <v>107000</v>
      </c>
      <c r="D11" s="5">
        <v>110700</v>
      </c>
      <c r="E11" s="5">
        <v>996300</v>
      </c>
      <c r="F11" s="3"/>
      <c r="G11" s="3" t="s">
        <v>34</v>
      </c>
      <c r="H11" s="3"/>
      <c r="I11" s="3"/>
      <c r="J11" s="3"/>
      <c r="K11" s="3"/>
    </row>
    <row r="12" spans="1:11">
      <c r="A12" s="4" t="s">
        <v>24</v>
      </c>
      <c r="B12" s="5">
        <v>1000000</v>
      </c>
      <c r="C12" s="5">
        <v>112000</v>
      </c>
      <c r="D12" s="5">
        <v>111200</v>
      </c>
      <c r="E12" s="5">
        <v>1000800</v>
      </c>
      <c r="F12" s="3"/>
      <c r="G12" s="8" t="s">
        <v>27</v>
      </c>
      <c r="H12" s="8" t="s">
        <v>28</v>
      </c>
      <c r="I12" s="8" t="s">
        <v>29</v>
      </c>
      <c r="J12" s="8" t="s">
        <v>30</v>
      </c>
      <c r="K12" s="8" t="s">
        <v>31</v>
      </c>
    </row>
    <row r="13" spans="1:11">
      <c r="A13" s="4" t="s">
        <v>25</v>
      </c>
      <c r="B13" s="5">
        <v>1000000</v>
      </c>
      <c r="C13" s="5">
        <v>167000</v>
      </c>
      <c r="D13" s="5">
        <v>116700</v>
      </c>
      <c r="E13" s="5">
        <v>1050300</v>
      </c>
      <c r="F13" s="3"/>
      <c r="G13" s="4" t="s">
        <v>22</v>
      </c>
      <c r="H13" s="85">
        <v>850000</v>
      </c>
      <c r="I13" s="85">
        <v>141000</v>
      </c>
      <c r="J13" s="85">
        <v>104100</v>
      </c>
      <c r="K13" s="85">
        <v>957600</v>
      </c>
    </row>
    <row r="14" spans="1:11">
      <c r="A14" s="9"/>
      <c r="B14" s="9"/>
      <c r="C14" s="9"/>
      <c r="D14" s="9"/>
      <c r="E14" s="9"/>
      <c r="F14" s="3"/>
      <c r="G14" s="4" t="s">
        <v>23</v>
      </c>
      <c r="H14" s="85">
        <v>750000</v>
      </c>
      <c r="I14" s="85">
        <v>107000</v>
      </c>
      <c r="J14" s="85">
        <v>105700</v>
      </c>
      <c r="K14" s="85">
        <v>897300</v>
      </c>
    </row>
    <row r="15" spans="1:11">
      <c r="A15" s="7" t="s">
        <v>35</v>
      </c>
      <c r="B15" s="3"/>
      <c r="C15" s="3"/>
      <c r="D15" s="3"/>
      <c r="E15" s="3"/>
      <c r="F15" s="3"/>
      <c r="G15" s="4" t="s">
        <v>24</v>
      </c>
      <c r="H15" s="85">
        <v>900000</v>
      </c>
      <c r="I15" s="85">
        <v>112000</v>
      </c>
      <c r="J15" s="85">
        <v>111200</v>
      </c>
      <c r="K15" s="85">
        <v>927000</v>
      </c>
    </row>
    <row r="16" spans="1:11">
      <c r="A16" s="8" t="s">
        <v>27</v>
      </c>
      <c r="B16" s="8" t="s">
        <v>36</v>
      </c>
      <c r="C16" s="8" t="s">
        <v>29</v>
      </c>
      <c r="D16" s="8" t="s">
        <v>30</v>
      </c>
      <c r="E16" s="8" t="s">
        <v>31</v>
      </c>
      <c r="F16" s="3"/>
      <c r="G16" s="4" t="s">
        <v>25</v>
      </c>
      <c r="H16" s="85">
        <v>750000</v>
      </c>
      <c r="I16" s="85">
        <v>167000</v>
      </c>
      <c r="J16" s="85">
        <v>107200</v>
      </c>
      <c r="K16" s="85">
        <v>858600</v>
      </c>
    </row>
    <row r="17" spans="1:11">
      <c r="A17" s="4" t="s">
        <v>22</v>
      </c>
      <c r="B17" s="5">
        <v>850000</v>
      </c>
      <c r="C17" s="5">
        <v>242000</v>
      </c>
      <c r="D17" s="5">
        <v>109200</v>
      </c>
      <c r="E17" s="5">
        <v>982800</v>
      </c>
      <c r="F17" s="3"/>
      <c r="G17" s="3"/>
      <c r="H17" s="3"/>
      <c r="I17" s="3"/>
      <c r="J17" s="3"/>
      <c r="K17" s="3"/>
    </row>
    <row r="18" spans="1:11">
      <c r="A18" s="4" t="s">
        <v>23</v>
      </c>
      <c r="B18" s="5">
        <v>900000</v>
      </c>
      <c r="C18" s="5">
        <v>157000</v>
      </c>
      <c r="D18" s="5">
        <v>105700</v>
      </c>
      <c r="E18" s="5">
        <v>951300</v>
      </c>
      <c r="F18" s="3"/>
      <c r="G18" s="3"/>
      <c r="H18" s="3"/>
      <c r="I18" s="3"/>
      <c r="J18" s="3"/>
      <c r="K18" s="3"/>
    </row>
    <row r="19" spans="1:11">
      <c r="A19" s="4" t="s">
        <v>24</v>
      </c>
      <c r="B19" s="5">
        <v>1000000</v>
      </c>
      <c r="C19" s="5">
        <v>214000</v>
      </c>
      <c r="D19" s="5">
        <v>121400</v>
      </c>
      <c r="E19" s="5">
        <v>1092600</v>
      </c>
      <c r="F19" s="3"/>
      <c r="G19" s="3"/>
      <c r="H19" s="3"/>
      <c r="I19" s="3"/>
      <c r="J19" s="3"/>
      <c r="K19" s="3"/>
    </row>
    <row r="20" spans="1:11">
      <c r="A20" s="4" t="s">
        <v>25</v>
      </c>
      <c r="B20" s="5">
        <v>850000</v>
      </c>
      <c r="C20" s="5">
        <v>222000</v>
      </c>
      <c r="D20" s="5">
        <v>107200</v>
      </c>
      <c r="E20" s="5">
        <v>964800</v>
      </c>
      <c r="F20" s="3"/>
      <c r="G20" s="3"/>
      <c r="H20" s="3"/>
      <c r="I20" s="3"/>
      <c r="J20" s="3"/>
      <c r="K20" s="3"/>
    </row>
  </sheetData>
  <dataConsolidate function="min" topLabels="1">
    <dataRefs count="3">
      <dataRef ref="A2:E6" sheet="통합2(결과)"/>
      <dataRef ref="A9:E13" sheet="통합2(결과)"/>
      <dataRef ref="A16:E20" sheet="통합2(결과)"/>
    </dataRefs>
  </dataConsolidate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1"/>
  <sheetViews>
    <sheetView workbookViewId="0"/>
  </sheetViews>
  <sheetFormatPr defaultRowHeight="16.5"/>
  <sheetData>
    <row r="1" spans="1:7" ht="26.25">
      <c r="A1" s="116" t="s">
        <v>45</v>
      </c>
      <c r="B1" s="116"/>
      <c r="C1" s="116"/>
      <c r="D1" s="116"/>
      <c r="E1" s="116"/>
      <c r="F1" s="116"/>
      <c r="G1" s="116"/>
    </row>
    <row r="2" spans="1:7">
      <c r="A2" s="10" t="s">
        <v>46</v>
      </c>
      <c r="B2" s="10" t="s">
        <v>47</v>
      </c>
      <c r="C2" s="11" t="s">
        <v>48</v>
      </c>
      <c r="D2" s="11" t="s">
        <v>49</v>
      </c>
      <c r="E2" s="10" t="s">
        <v>50</v>
      </c>
      <c r="F2" s="10" t="s">
        <v>51</v>
      </c>
      <c r="G2" s="10" t="s">
        <v>52</v>
      </c>
    </row>
    <row r="3" spans="1:7">
      <c r="A3" s="10">
        <v>104</v>
      </c>
      <c r="B3" s="10" t="s">
        <v>53</v>
      </c>
      <c r="C3" s="12">
        <v>55</v>
      </c>
      <c r="D3" s="12">
        <v>75</v>
      </c>
      <c r="E3" s="13">
        <f t="shared" ref="E3:E11" si="0">SUM(C3:D3)</f>
        <v>130</v>
      </c>
      <c r="F3" s="14">
        <f t="shared" ref="F3:F11" si="1">AVERAGE(C3:D3)</f>
        <v>65</v>
      </c>
      <c r="G3" s="10" t="s">
        <v>43</v>
      </c>
    </row>
    <row r="4" spans="1:7">
      <c r="A4" s="10">
        <v>107</v>
      </c>
      <c r="B4" s="10" t="s">
        <v>54</v>
      </c>
      <c r="C4" s="12">
        <v>79</v>
      </c>
      <c r="D4" s="12">
        <v>80</v>
      </c>
      <c r="E4" s="13">
        <f t="shared" si="0"/>
        <v>159</v>
      </c>
      <c r="F4" s="14">
        <f t="shared" si="1"/>
        <v>79.5</v>
      </c>
      <c r="G4" s="10" t="s">
        <v>44</v>
      </c>
    </row>
    <row r="5" spans="1:7">
      <c r="A5" s="10">
        <v>102</v>
      </c>
      <c r="B5" s="10" t="s">
        <v>55</v>
      </c>
      <c r="C5" s="12">
        <v>78</v>
      </c>
      <c r="D5" s="12">
        <v>79</v>
      </c>
      <c r="E5" s="13">
        <f t="shared" si="0"/>
        <v>157</v>
      </c>
      <c r="F5" s="14">
        <f t="shared" si="1"/>
        <v>78.5</v>
      </c>
      <c r="G5" s="10" t="s">
        <v>43</v>
      </c>
    </row>
    <row r="6" spans="1:7">
      <c r="A6" s="10">
        <v>106</v>
      </c>
      <c r="B6" s="10" t="s">
        <v>56</v>
      </c>
      <c r="C6" s="12">
        <v>75</v>
      </c>
      <c r="D6" s="12">
        <v>64</v>
      </c>
      <c r="E6" s="13">
        <f t="shared" si="0"/>
        <v>139</v>
      </c>
      <c r="F6" s="14">
        <f t="shared" si="1"/>
        <v>69.5</v>
      </c>
      <c r="G6" s="10" t="s">
        <v>44</v>
      </c>
    </row>
    <row r="7" spans="1:7">
      <c r="A7" s="10">
        <v>105</v>
      </c>
      <c r="B7" s="10" t="s">
        <v>57</v>
      </c>
      <c r="C7" s="12">
        <v>97</v>
      </c>
      <c r="D7" s="12">
        <v>100</v>
      </c>
      <c r="E7" s="13">
        <f t="shared" si="0"/>
        <v>197</v>
      </c>
      <c r="F7" s="14">
        <f t="shared" si="1"/>
        <v>98.5</v>
      </c>
      <c r="G7" s="10" t="s">
        <v>44</v>
      </c>
    </row>
    <row r="8" spans="1:7">
      <c r="A8" s="10">
        <v>103</v>
      </c>
      <c r="B8" s="10" t="s">
        <v>58</v>
      </c>
      <c r="C8" s="12">
        <v>100</v>
      </c>
      <c r="D8" s="12">
        <v>98</v>
      </c>
      <c r="E8" s="13">
        <f t="shared" si="0"/>
        <v>198</v>
      </c>
      <c r="F8" s="14">
        <f t="shared" si="1"/>
        <v>99</v>
      </c>
      <c r="G8" s="10" t="s">
        <v>44</v>
      </c>
    </row>
    <row r="9" spans="1:7">
      <c r="A9" s="10">
        <v>101</v>
      </c>
      <c r="B9" s="10" t="s">
        <v>59</v>
      </c>
      <c r="C9" s="12">
        <v>98</v>
      </c>
      <c r="D9" s="12">
        <v>85</v>
      </c>
      <c r="E9" s="13">
        <f t="shared" si="0"/>
        <v>183</v>
      </c>
      <c r="F9" s="14">
        <f t="shared" si="1"/>
        <v>91.5</v>
      </c>
      <c r="G9" s="10" t="s">
        <v>44</v>
      </c>
    </row>
    <row r="10" spans="1:7">
      <c r="A10" s="10">
        <v>100</v>
      </c>
      <c r="B10" s="10" t="s">
        <v>60</v>
      </c>
      <c r="C10" s="12">
        <v>85</v>
      </c>
      <c r="D10" s="12">
        <v>80</v>
      </c>
      <c r="E10" s="13">
        <f t="shared" si="0"/>
        <v>165</v>
      </c>
      <c r="F10" s="14">
        <f t="shared" si="1"/>
        <v>82.5</v>
      </c>
      <c r="G10" s="10" t="s">
        <v>44</v>
      </c>
    </row>
    <row r="11" spans="1:7">
      <c r="A11" s="10">
        <v>108</v>
      </c>
      <c r="B11" s="10" t="s">
        <v>61</v>
      </c>
      <c r="C11" s="12">
        <v>45</v>
      </c>
      <c r="D11" s="12">
        <v>65</v>
      </c>
      <c r="E11" s="13">
        <f t="shared" si="0"/>
        <v>110</v>
      </c>
      <c r="F11" s="14">
        <f t="shared" si="1"/>
        <v>55</v>
      </c>
      <c r="G11" s="10" t="s">
        <v>43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1"/>
  <sheetViews>
    <sheetView workbookViewId="0"/>
  </sheetViews>
  <sheetFormatPr defaultRowHeight="16.5"/>
  <sheetData>
    <row r="1" spans="1:7" ht="26.25">
      <c r="A1" s="116" t="s">
        <v>45</v>
      </c>
      <c r="B1" s="116"/>
      <c r="C1" s="116"/>
      <c r="D1" s="116"/>
      <c r="E1" s="116"/>
      <c r="F1" s="116"/>
      <c r="G1" s="116"/>
    </row>
    <row r="2" spans="1:7">
      <c r="A2" s="10" t="s">
        <v>46</v>
      </c>
      <c r="B2" s="10" t="s">
        <v>47</v>
      </c>
      <c r="C2" s="11" t="s">
        <v>48</v>
      </c>
      <c r="D2" s="11" t="s">
        <v>49</v>
      </c>
      <c r="E2" s="10" t="s">
        <v>50</v>
      </c>
      <c r="F2" s="10" t="s">
        <v>51</v>
      </c>
      <c r="G2" s="10" t="s">
        <v>52</v>
      </c>
    </row>
    <row r="3" spans="1:7">
      <c r="A3" s="10">
        <v>107</v>
      </c>
      <c r="B3" s="10" t="s">
        <v>54</v>
      </c>
      <c r="C3" s="12">
        <v>79</v>
      </c>
      <c r="D3" s="12">
        <v>80</v>
      </c>
      <c r="E3" s="13">
        <f t="shared" ref="E3:E11" si="0">SUM(C3:D3)</f>
        <v>159</v>
      </c>
      <c r="F3" s="14">
        <f t="shared" ref="F3:F11" si="1">AVERAGE(C3:D3)</f>
        <v>79.5</v>
      </c>
      <c r="G3" s="10" t="s">
        <v>44</v>
      </c>
    </row>
    <row r="4" spans="1:7">
      <c r="A4" s="10">
        <v>106</v>
      </c>
      <c r="B4" s="10" t="s">
        <v>56</v>
      </c>
      <c r="C4" s="12">
        <v>75</v>
      </c>
      <c r="D4" s="12">
        <v>64</v>
      </c>
      <c r="E4" s="13">
        <f t="shared" si="0"/>
        <v>139</v>
      </c>
      <c r="F4" s="14">
        <f t="shared" si="1"/>
        <v>69.5</v>
      </c>
      <c r="G4" s="10" t="s">
        <v>44</v>
      </c>
    </row>
    <row r="5" spans="1:7">
      <c r="A5" s="10">
        <v>105</v>
      </c>
      <c r="B5" s="10" t="s">
        <v>57</v>
      </c>
      <c r="C5" s="12">
        <v>97</v>
      </c>
      <c r="D5" s="12">
        <v>100</v>
      </c>
      <c r="E5" s="13">
        <f t="shared" si="0"/>
        <v>197</v>
      </c>
      <c r="F5" s="14">
        <f t="shared" si="1"/>
        <v>98.5</v>
      </c>
      <c r="G5" s="10" t="s">
        <v>44</v>
      </c>
    </row>
    <row r="6" spans="1:7">
      <c r="A6" s="10">
        <v>103</v>
      </c>
      <c r="B6" s="10" t="s">
        <v>58</v>
      </c>
      <c r="C6" s="12">
        <v>100</v>
      </c>
      <c r="D6" s="12">
        <v>98</v>
      </c>
      <c r="E6" s="13">
        <f t="shared" si="0"/>
        <v>198</v>
      </c>
      <c r="F6" s="14">
        <f t="shared" si="1"/>
        <v>99</v>
      </c>
      <c r="G6" s="10" t="s">
        <v>44</v>
      </c>
    </row>
    <row r="7" spans="1:7">
      <c r="A7" s="10">
        <v>101</v>
      </c>
      <c r="B7" s="10" t="s">
        <v>59</v>
      </c>
      <c r="C7" s="12">
        <v>98</v>
      </c>
      <c r="D7" s="12">
        <v>85</v>
      </c>
      <c r="E7" s="13">
        <f t="shared" si="0"/>
        <v>183</v>
      </c>
      <c r="F7" s="14">
        <f t="shared" si="1"/>
        <v>91.5</v>
      </c>
      <c r="G7" s="10" t="s">
        <v>44</v>
      </c>
    </row>
    <row r="8" spans="1:7">
      <c r="A8" s="10">
        <v>100</v>
      </c>
      <c r="B8" s="10" t="s">
        <v>60</v>
      </c>
      <c r="C8" s="12">
        <v>85</v>
      </c>
      <c r="D8" s="12">
        <v>80</v>
      </c>
      <c r="E8" s="13">
        <f t="shared" si="0"/>
        <v>165</v>
      </c>
      <c r="F8" s="14">
        <f t="shared" si="1"/>
        <v>82.5</v>
      </c>
      <c r="G8" s="10" t="s">
        <v>44</v>
      </c>
    </row>
    <row r="9" spans="1:7">
      <c r="A9" s="10">
        <v>104</v>
      </c>
      <c r="B9" s="10" t="s">
        <v>53</v>
      </c>
      <c r="C9" s="12">
        <v>55</v>
      </c>
      <c r="D9" s="12">
        <v>75</v>
      </c>
      <c r="E9" s="13">
        <f t="shared" si="0"/>
        <v>130</v>
      </c>
      <c r="F9" s="14">
        <f t="shared" si="1"/>
        <v>65</v>
      </c>
      <c r="G9" s="10" t="s">
        <v>43</v>
      </c>
    </row>
    <row r="10" spans="1:7">
      <c r="A10" s="10">
        <v>102</v>
      </c>
      <c r="B10" s="10" t="s">
        <v>55</v>
      </c>
      <c r="C10" s="12">
        <v>78</v>
      </c>
      <c r="D10" s="12">
        <v>79</v>
      </c>
      <c r="E10" s="13">
        <f t="shared" si="0"/>
        <v>157</v>
      </c>
      <c r="F10" s="14">
        <f t="shared" si="1"/>
        <v>78.5</v>
      </c>
      <c r="G10" s="10" t="s">
        <v>43</v>
      </c>
    </row>
    <row r="11" spans="1:7">
      <c r="A11" s="10">
        <v>108</v>
      </c>
      <c r="B11" s="10" t="s">
        <v>61</v>
      </c>
      <c r="C11" s="12">
        <v>45</v>
      </c>
      <c r="D11" s="12">
        <v>65</v>
      </c>
      <c r="E11" s="13">
        <f t="shared" si="0"/>
        <v>110</v>
      </c>
      <c r="F11" s="14">
        <f t="shared" si="1"/>
        <v>55</v>
      </c>
      <c r="G11" s="10" t="s">
        <v>43</v>
      </c>
    </row>
  </sheetData>
  <sortState ref="A3:G11">
    <sortCondition descending="1" ref="G3:G11"/>
  </sortState>
  <mergeCells count="1">
    <mergeCell ref="A1:G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/>
  </sheetViews>
  <sheetFormatPr defaultRowHeight="16.5"/>
  <cols>
    <col min="1" max="1" width="13" bestFit="1" customWidth="1"/>
  </cols>
  <sheetData>
    <row r="1" spans="1:7" ht="20.25">
      <c r="A1" s="117" t="s">
        <v>70</v>
      </c>
      <c r="B1" s="117"/>
      <c r="C1" s="117"/>
      <c r="D1" s="117"/>
      <c r="E1" s="117"/>
      <c r="F1" s="117"/>
      <c r="G1" s="117"/>
    </row>
    <row r="2" spans="1:7">
      <c r="A2" s="17"/>
      <c r="B2" s="17"/>
      <c r="C2" s="17"/>
      <c r="D2" s="17"/>
      <c r="E2" s="17"/>
      <c r="F2" s="17"/>
      <c r="G2" s="18" t="s">
        <v>71</v>
      </c>
    </row>
    <row r="3" spans="1:7">
      <c r="A3" s="15"/>
      <c r="B3" s="15"/>
      <c r="C3" s="118"/>
      <c r="D3" s="118"/>
      <c r="E3" s="118"/>
      <c r="F3" s="15"/>
      <c r="G3" s="15"/>
    </row>
    <row r="4" spans="1:7">
      <c r="A4" s="16" t="s">
        <v>72</v>
      </c>
      <c r="B4" s="16" t="s">
        <v>73</v>
      </c>
      <c r="C4" s="16" t="s">
        <v>62</v>
      </c>
      <c r="D4" s="16" t="s">
        <v>63</v>
      </c>
      <c r="E4" s="16" t="s">
        <v>74</v>
      </c>
      <c r="F4" s="16" t="s">
        <v>389</v>
      </c>
      <c r="G4" s="16" t="s">
        <v>64</v>
      </c>
    </row>
    <row r="5" spans="1:7">
      <c r="A5" s="19" t="s">
        <v>75</v>
      </c>
      <c r="B5" s="19" t="s">
        <v>76</v>
      </c>
      <c r="C5" s="19">
        <v>25</v>
      </c>
      <c r="D5" s="19">
        <v>34</v>
      </c>
      <c r="E5" s="19">
        <v>59</v>
      </c>
      <c r="F5" s="19">
        <v>41</v>
      </c>
      <c r="G5" s="19">
        <v>18</v>
      </c>
    </row>
    <row r="6" spans="1:7">
      <c r="A6" s="19" t="s">
        <v>77</v>
      </c>
      <c r="B6" s="19" t="s">
        <v>78</v>
      </c>
      <c r="C6" s="19">
        <v>12</v>
      </c>
      <c r="D6" s="19">
        <v>152</v>
      </c>
      <c r="E6" s="19">
        <v>164</v>
      </c>
      <c r="F6" s="19">
        <v>123</v>
      </c>
      <c r="G6" s="19">
        <v>41</v>
      </c>
    </row>
    <row r="7" spans="1:7">
      <c r="A7" s="19" t="s">
        <v>79</v>
      </c>
      <c r="B7" s="19" t="s">
        <v>78</v>
      </c>
      <c r="C7" s="19">
        <v>14</v>
      </c>
      <c r="D7" s="19">
        <v>37</v>
      </c>
      <c r="E7" s="19">
        <v>51</v>
      </c>
      <c r="F7" s="19">
        <v>43</v>
      </c>
      <c r="G7" s="19">
        <v>8</v>
      </c>
    </row>
    <row r="8" spans="1:7">
      <c r="A8" s="19" t="s">
        <v>80</v>
      </c>
      <c r="B8" s="19" t="s">
        <v>76</v>
      </c>
      <c r="C8" s="19">
        <v>78</v>
      </c>
      <c r="D8" s="19">
        <v>789</v>
      </c>
      <c r="E8" s="19">
        <v>867</v>
      </c>
      <c r="F8" s="19">
        <v>934</v>
      </c>
      <c r="G8" s="19">
        <v>-67</v>
      </c>
    </row>
    <row r="9" spans="1:7">
      <c r="A9" s="19" t="s">
        <v>81</v>
      </c>
      <c r="B9" s="19" t="s">
        <v>78</v>
      </c>
      <c r="C9" s="19">
        <v>2</v>
      </c>
      <c r="D9" s="19">
        <v>182</v>
      </c>
      <c r="E9" s="19">
        <v>184</v>
      </c>
      <c r="F9" s="19">
        <v>202</v>
      </c>
      <c r="G9" s="19">
        <v>-18</v>
      </c>
    </row>
    <row r="10" spans="1:7">
      <c r="A10" s="19" t="s">
        <v>82</v>
      </c>
      <c r="B10" s="19" t="s">
        <v>76</v>
      </c>
      <c r="C10" s="19">
        <v>5</v>
      </c>
      <c r="D10" s="19">
        <v>99</v>
      </c>
      <c r="E10" s="19">
        <v>104</v>
      </c>
      <c r="F10" s="19">
        <v>79</v>
      </c>
      <c r="G10" s="19">
        <v>25</v>
      </c>
    </row>
    <row r="11" spans="1:7">
      <c r="A11" s="19" t="s">
        <v>83</v>
      </c>
      <c r="B11" s="19" t="s">
        <v>84</v>
      </c>
      <c r="C11" s="19">
        <v>47</v>
      </c>
      <c r="D11" s="19">
        <v>698</v>
      </c>
      <c r="E11" s="19">
        <v>745</v>
      </c>
      <c r="F11" s="19">
        <v>854</v>
      </c>
      <c r="G11" s="19">
        <v>-109</v>
      </c>
    </row>
    <row r="12" spans="1:7">
      <c r="A12" s="19" t="s">
        <v>85</v>
      </c>
      <c r="B12" s="19" t="s">
        <v>86</v>
      </c>
      <c r="C12" s="19">
        <v>3</v>
      </c>
      <c r="D12" s="19">
        <v>3</v>
      </c>
      <c r="E12" s="19">
        <v>6</v>
      </c>
      <c r="F12" s="19">
        <v>5</v>
      </c>
      <c r="G12" s="19">
        <v>1</v>
      </c>
    </row>
    <row r="13" spans="1:7">
      <c r="A13" s="19" t="s">
        <v>65</v>
      </c>
      <c r="B13" s="19" t="s">
        <v>66</v>
      </c>
      <c r="C13" s="19">
        <v>12</v>
      </c>
      <c r="D13" s="19">
        <v>21</v>
      </c>
      <c r="E13" s="19">
        <v>33</v>
      </c>
      <c r="F13" s="19">
        <v>35</v>
      </c>
      <c r="G13" s="19">
        <v>-2</v>
      </c>
    </row>
    <row r="14" spans="1:7">
      <c r="A14" s="19" t="s">
        <v>87</v>
      </c>
      <c r="B14" s="19" t="s">
        <v>78</v>
      </c>
      <c r="C14" s="19">
        <v>21</v>
      </c>
      <c r="D14" s="19">
        <v>888</v>
      </c>
      <c r="E14" s="19">
        <v>909</v>
      </c>
      <c r="F14" s="19">
        <v>913</v>
      </c>
      <c r="G14" s="19">
        <v>-4</v>
      </c>
    </row>
    <row r="15" spans="1:7">
      <c r="A15" s="19" t="s">
        <v>88</v>
      </c>
      <c r="B15" s="19" t="s">
        <v>84</v>
      </c>
      <c r="C15" s="19">
        <v>2</v>
      </c>
      <c r="D15" s="19">
        <v>198</v>
      </c>
      <c r="E15" s="19">
        <v>200</v>
      </c>
      <c r="F15" s="19">
        <v>156</v>
      </c>
      <c r="G15" s="19">
        <v>44</v>
      </c>
    </row>
    <row r="16" spans="1:7">
      <c r="A16" s="19" t="s">
        <v>67</v>
      </c>
      <c r="B16" s="19" t="s">
        <v>76</v>
      </c>
      <c r="C16" s="19">
        <v>2</v>
      </c>
      <c r="D16" s="19">
        <v>5</v>
      </c>
      <c r="E16" s="19">
        <v>7</v>
      </c>
      <c r="F16" s="19">
        <v>12</v>
      </c>
      <c r="G16" s="19">
        <v>-5</v>
      </c>
    </row>
    <row r="17" spans="1:7">
      <c r="A17" s="19" t="s">
        <v>89</v>
      </c>
      <c r="B17" s="19" t="s">
        <v>84</v>
      </c>
      <c r="C17" s="19">
        <v>5</v>
      </c>
      <c r="D17" s="19">
        <v>3</v>
      </c>
      <c r="E17" s="19">
        <v>8</v>
      </c>
      <c r="F17" s="19">
        <v>12</v>
      </c>
      <c r="G17" s="19">
        <v>-4</v>
      </c>
    </row>
    <row r="18" spans="1:7">
      <c r="A18" s="19" t="s">
        <v>68</v>
      </c>
      <c r="B18" s="19" t="s">
        <v>78</v>
      </c>
      <c r="C18" s="19">
        <v>779</v>
      </c>
      <c r="D18" s="19">
        <v>1208</v>
      </c>
      <c r="E18" s="19">
        <v>1987</v>
      </c>
      <c r="F18" s="19">
        <v>1704</v>
      </c>
      <c r="G18" s="19">
        <v>283</v>
      </c>
    </row>
    <row r="19" spans="1:7">
      <c r="A19" s="19" t="s">
        <v>69</v>
      </c>
      <c r="B19" s="19" t="s">
        <v>66</v>
      </c>
      <c r="C19" s="19">
        <v>24</v>
      </c>
      <c r="D19" s="19">
        <v>567</v>
      </c>
      <c r="E19" s="19">
        <v>591</v>
      </c>
      <c r="F19" s="19">
        <v>552</v>
      </c>
      <c r="G19" s="19">
        <v>39</v>
      </c>
    </row>
    <row r="20" spans="1:7">
      <c r="A20" s="19" t="s">
        <v>90</v>
      </c>
      <c r="B20" s="19" t="s">
        <v>91</v>
      </c>
      <c r="C20" s="19">
        <v>7</v>
      </c>
      <c r="D20" s="19">
        <v>4</v>
      </c>
      <c r="E20" s="19">
        <v>11</v>
      </c>
      <c r="F20" s="19">
        <v>8</v>
      </c>
      <c r="G20" s="19">
        <v>3</v>
      </c>
    </row>
    <row r="21" spans="1:7">
      <c r="A21" s="119" t="s">
        <v>92</v>
      </c>
      <c r="B21" s="119"/>
      <c r="C21" s="20">
        <v>1038</v>
      </c>
      <c r="D21" s="20">
        <v>4888</v>
      </c>
      <c r="E21" s="20">
        <v>5926</v>
      </c>
      <c r="F21" s="20">
        <v>5673</v>
      </c>
      <c r="G21" s="20">
        <v>253</v>
      </c>
    </row>
  </sheetData>
  <mergeCells count="3">
    <mergeCell ref="A1:G1"/>
    <mergeCell ref="C3:E3"/>
    <mergeCell ref="A21:B21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1"/>
  <sheetViews>
    <sheetView workbookViewId="0"/>
  </sheetViews>
  <sheetFormatPr defaultRowHeight="16.5"/>
  <cols>
    <col min="1" max="1" width="13" bestFit="1" customWidth="1"/>
  </cols>
  <sheetData>
    <row r="1" spans="1:7" ht="20.25">
      <c r="A1" s="117" t="s">
        <v>70</v>
      </c>
      <c r="B1" s="117"/>
      <c r="C1" s="117"/>
      <c r="D1" s="117"/>
      <c r="E1" s="117"/>
      <c r="F1" s="117"/>
      <c r="G1" s="117"/>
    </row>
    <row r="2" spans="1:7">
      <c r="A2" s="17"/>
      <c r="B2" s="17"/>
      <c r="C2" s="17"/>
      <c r="D2" s="17"/>
      <c r="E2" s="17"/>
      <c r="F2" s="17"/>
      <c r="G2" s="18" t="s">
        <v>71</v>
      </c>
    </row>
    <row r="3" spans="1:7">
      <c r="A3" s="15"/>
      <c r="B3" s="15"/>
      <c r="C3" s="118"/>
      <c r="D3" s="118"/>
      <c r="E3" s="118"/>
      <c r="F3" s="15"/>
      <c r="G3" s="15"/>
    </row>
    <row r="4" spans="1:7">
      <c r="A4" s="16" t="s">
        <v>72</v>
      </c>
      <c r="B4" s="16" t="s">
        <v>73</v>
      </c>
      <c r="C4" s="16" t="s">
        <v>62</v>
      </c>
      <c r="D4" s="16" t="s">
        <v>63</v>
      </c>
      <c r="E4" s="16" t="s">
        <v>74</v>
      </c>
      <c r="F4" s="16" t="s">
        <v>389</v>
      </c>
      <c r="G4" s="16" t="s">
        <v>64</v>
      </c>
    </row>
    <row r="5" spans="1:7">
      <c r="A5" s="19" t="s">
        <v>77</v>
      </c>
      <c r="B5" s="19" t="s">
        <v>78</v>
      </c>
      <c r="C5" s="19">
        <v>12</v>
      </c>
      <c r="D5" s="19">
        <v>152</v>
      </c>
      <c r="E5" s="19">
        <v>164</v>
      </c>
      <c r="F5" s="19">
        <v>123</v>
      </c>
      <c r="G5" s="19">
        <v>41</v>
      </c>
    </row>
    <row r="6" spans="1:7">
      <c r="A6" s="19" t="s">
        <v>79</v>
      </c>
      <c r="B6" s="19" t="s">
        <v>78</v>
      </c>
      <c r="C6" s="19">
        <v>14</v>
      </c>
      <c r="D6" s="19">
        <v>37</v>
      </c>
      <c r="E6" s="19">
        <v>51</v>
      </c>
      <c r="F6" s="19">
        <v>43</v>
      </c>
      <c r="G6" s="19">
        <v>8</v>
      </c>
    </row>
    <row r="7" spans="1:7">
      <c r="A7" s="19" t="s">
        <v>81</v>
      </c>
      <c r="B7" s="19" t="s">
        <v>78</v>
      </c>
      <c r="C7" s="19">
        <v>2</v>
      </c>
      <c r="D7" s="19">
        <v>182</v>
      </c>
      <c r="E7" s="19">
        <v>184</v>
      </c>
      <c r="F7" s="19">
        <v>202</v>
      </c>
      <c r="G7" s="19">
        <v>-18</v>
      </c>
    </row>
    <row r="8" spans="1:7">
      <c r="A8" s="19" t="s">
        <v>87</v>
      </c>
      <c r="B8" s="19" t="s">
        <v>78</v>
      </c>
      <c r="C8" s="19">
        <v>21</v>
      </c>
      <c r="D8" s="19">
        <v>888</v>
      </c>
      <c r="E8" s="19">
        <v>909</v>
      </c>
      <c r="F8" s="19">
        <v>913</v>
      </c>
      <c r="G8" s="19">
        <v>-4</v>
      </c>
    </row>
    <row r="9" spans="1:7">
      <c r="A9" s="19" t="s">
        <v>68</v>
      </c>
      <c r="B9" s="19" t="s">
        <v>78</v>
      </c>
      <c r="C9" s="19">
        <v>779</v>
      </c>
      <c r="D9" s="19">
        <v>1208</v>
      </c>
      <c r="E9" s="19">
        <v>1987</v>
      </c>
      <c r="F9" s="19">
        <v>1704</v>
      </c>
      <c r="G9" s="19">
        <v>283</v>
      </c>
    </row>
    <row r="10" spans="1:7">
      <c r="A10" s="19" t="s">
        <v>90</v>
      </c>
      <c r="B10" s="19" t="s">
        <v>91</v>
      </c>
      <c r="C10" s="19">
        <v>7</v>
      </c>
      <c r="D10" s="19">
        <v>4</v>
      </c>
      <c r="E10" s="19">
        <v>11</v>
      </c>
      <c r="F10" s="19">
        <v>8</v>
      </c>
      <c r="G10" s="19">
        <v>3</v>
      </c>
    </row>
    <row r="11" spans="1:7">
      <c r="A11" s="19" t="s">
        <v>75</v>
      </c>
      <c r="B11" s="19" t="s">
        <v>76</v>
      </c>
      <c r="C11" s="19">
        <v>25</v>
      </c>
      <c r="D11" s="19">
        <v>34</v>
      </c>
      <c r="E11" s="19">
        <v>59</v>
      </c>
      <c r="F11" s="19">
        <v>41</v>
      </c>
      <c r="G11" s="19">
        <v>18</v>
      </c>
    </row>
    <row r="12" spans="1:7">
      <c r="A12" s="19" t="s">
        <v>80</v>
      </c>
      <c r="B12" s="19" t="s">
        <v>76</v>
      </c>
      <c r="C12" s="19">
        <v>78</v>
      </c>
      <c r="D12" s="19">
        <v>789</v>
      </c>
      <c r="E12" s="19">
        <v>867</v>
      </c>
      <c r="F12" s="19">
        <v>934</v>
      </c>
      <c r="G12" s="19">
        <v>-67</v>
      </c>
    </row>
    <row r="13" spans="1:7">
      <c r="A13" s="19" t="s">
        <v>82</v>
      </c>
      <c r="B13" s="19" t="s">
        <v>76</v>
      </c>
      <c r="C13" s="19">
        <v>5</v>
      </c>
      <c r="D13" s="19">
        <v>99</v>
      </c>
      <c r="E13" s="19">
        <v>104</v>
      </c>
      <c r="F13" s="19">
        <v>79</v>
      </c>
      <c r="G13" s="19">
        <v>25</v>
      </c>
    </row>
    <row r="14" spans="1:7">
      <c r="A14" s="19" t="s">
        <v>67</v>
      </c>
      <c r="B14" s="19" t="s">
        <v>76</v>
      </c>
      <c r="C14" s="19">
        <v>2</v>
      </c>
      <c r="D14" s="19">
        <v>5</v>
      </c>
      <c r="E14" s="19">
        <v>7</v>
      </c>
      <c r="F14" s="19">
        <v>12</v>
      </c>
      <c r="G14" s="19">
        <v>-5</v>
      </c>
    </row>
    <row r="15" spans="1:7">
      <c r="A15" s="19" t="s">
        <v>83</v>
      </c>
      <c r="B15" s="19" t="s">
        <v>84</v>
      </c>
      <c r="C15" s="19">
        <v>47</v>
      </c>
      <c r="D15" s="19">
        <v>698</v>
      </c>
      <c r="E15" s="19">
        <v>745</v>
      </c>
      <c r="F15" s="19">
        <v>854</v>
      </c>
      <c r="G15" s="19">
        <v>-109</v>
      </c>
    </row>
    <row r="16" spans="1:7">
      <c r="A16" s="19" t="s">
        <v>88</v>
      </c>
      <c r="B16" s="19" t="s">
        <v>84</v>
      </c>
      <c r="C16" s="19">
        <v>2</v>
      </c>
      <c r="D16" s="19">
        <v>198</v>
      </c>
      <c r="E16" s="19">
        <v>200</v>
      </c>
      <c r="F16" s="19">
        <v>156</v>
      </c>
      <c r="G16" s="19">
        <v>44</v>
      </c>
    </row>
    <row r="17" spans="1:7">
      <c r="A17" s="19" t="s">
        <v>89</v>
      </c>
      <c r="B17" s="19" t="s">
        <v>84</v>
      </c>
      <c r="C17" s="19">
        <v>5</v>
      </c>
      <c r="D17" s="19">
        <v>3</v>
      </c>
      <c r="E17" s="19">
        <v>8</v>
      </c>
      <c r="F17" s="19">
        <v>12</v>
      </c>
      <c r="G17" s="19">
        <v>-4</v>
      </c>
    </row>
    <row r="18" spans="1:7">
      <c r="A18" s="19" t="s">
        <v>85</v>
      </c>
      <c r="B18" s="19" t="s">
        <v>86</v>
      </c>
      <c r="C18" s="19">
        <v>3</v>
      </c>
      <c r="D18" s="19">
        <v>3</v>
      </c>
      <c r="E18" s="19">
        <v>6</v>
      </c>
      <c r="F18" s="19">
        <v>5</v>
      </c>
      <c r="G18" s="19">
        <v>1</v>
      </c>
    </row>
    <row r="19" spans="1:7">
      <c r="A19" s="19" t="s">
        <v>65</v>
      </c>
      <c r="B19" s="19" t="s">
        <v>66</v>
      </c>
      <c r="C19" s="19">
        <v>12</v>
      </c>
      <c r="D19" s="19">
        <v>21</v>
      </c>
      <c r="E19" s="19">
        <v>33</v>
      </c>
      <c r="F19" s="19">
        <v>35</v>
      </c>
      <c r="G19" s="19">
        <v>-2</v>
      </c>
    </row>
    <row r="20" spans="1:7">
      <c r="A20" s="19" t="s">
        <v>69</v>
      </c>
      <c r="B20" s="19" t="s">
        <v>66</v>
      </c>
      <c r="C20" s="19">
        <v>24</v>
      </c>
      <c r="D20" s="19">
        <v>567</v>
      </c>
      <c r="E20" s="19">
        <v>591</v>
      </c>
      <c r="F20" s="19">
        <v>552</v>
      </c>
      <c r="G20" s="19">
        <v>39</v>
      </c>
    </row>
    <row r="21" spans="1:7">
      <c r="A21" s="119" t="s">
        <v>92</v>
      </c>
      <c r="B21" s="119"/>
      <c r="C21" s="20">
        <v>1038</v>
      </c>
      <c r="D21" s="20">
        <v>4888</v>
      </c>
      <c r="E21" s="20">
        <v>5926</v>
      </c>
      <c r="F21" s="20">
        <v>5673</v>
      </c>
      <c r="G21" s="20">
        <v>253</v>
      </c>
    </row>
  </sheetData>
  <sortState ref="A5:G20">
    <sortCondition ref="B5:B20" customList="조합,회원사,비회원사,기타"/>
  </sortState>
  <mergeCells count="3">
    <mergeCell ref="A1:G1"/>
    <mergeCell ref="C3:E3"/>
    <mergeCell ref="A21:B2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G14"/>
  <sheetViews>
    <sheetView workbookViewId="0"/>
  </sheetViews>
  <sheetFormatPr defaultRowHeight="16.5"/>
  <cols>
    <col min="1" max="1" width="2.625" customWidth="1"/>
    <col min="2" max="2" width="5.25" style="26" bestFit="1" customWidth="1"/>
    <col min="3" max="3" width="7.125" style="26" bestFit="1" customWidth="1"/>
    <col min="4" max="4" width="10.875" style="26" bestFit="1" customWidth="1"/>
    <col min="5" max="6" width="9.375" style="26" bestFit="1" customWidth="1"/>
    <col min="7" max="7" width="10.875" style="26" bestFit="1" customWidth="1"/>
  </cols>
  <sheetData>
    <row r="1" spans="2:7" ht="20.25">
      <c r="B1" s="120" t="s">
        <v>108</v>
      </c>
      <c r="C1" s="120"/>
      <c r="D1" s="120"/>
      <c r="E1" s="120"/>
      <c r="F1" s="120"/>
      <c r="G1" s="120"/>
    </row>
    <row r="2" spans="2:7">
      <c r="B2" s="23"/>
      <c r="C2" s="23"/>
      <c r="D2" s="23"/>
      <c r="E2" s="23"/>
      <c r="F2" s="23"/>
      <c r="G2" s="23"/>
    </row>
    <row r="3" spans="2:7">
      <c r="B3" s="22" t="s">
        <v>109</v>
      </c>
      <c r="C3" s="22" t="s">
        <v>93</v>
      </c>
      <c r="D3" s="22" t="s">
        <v>94</v>
      </c>
      <c r="E3" s="22" t="s">
        <v>95</v>
      </c>
      <c r="F3" s="22" t="s">
        <v>96</v>
      </c>
      <c r="G3" s="22" t="s">
        <v>97</v>
      </c>
    </row>
    <row r="4" spans="2:7">
      <c r="B4" s="24" t="s">
        <v>110</v>
      </c>
      <c r="C4" s="24" t="s">
        <v>98</v>
      </c>
      <c r="D4" s="25">
        <v>2000000</v>
      </c>
      <c r="E4" s="25">
        <v>600000</v>
      </c>
      <c r="F4" s="25">
        <v>260000</v>
      </c>
      <c r="G4" s="25">
        <v>2340000</v>
      </c>
    </row>
    <row r="5" spans="2:7">
      <c r="B5" s="24" t="s">
        <v>111</v>
      </c>
      <c r="C5" s="24" t="s">
        <v>99</v>
      </c>
      <c r="D5" s="25">
        <v>2000000</v>
      </c>
      <c r="E5" s="25">
        <v>600000</v>
      </c>
      <c r="F5" s="25">
        <v>260000</v>
      </c>
      <c r="G5" s="25">
        <v>2340000</v>
      </c>
    </row>
    <row r="6" spans="2:7">
      <c r="B6" s="24" t="s">
        <v>112</v>
      </c>
      <c r="C6" s="24" t="s">
        <v>100</v>
      </c>
      <c r="D6" s="25">
        <v>800000</v>
      </c>
      <c r="E6" s="25">
        <v>80000</v>
      </c>
      <c r="F6" s="25">
        <v>88000</v>
      </c>
      <c r="G6" s="25">
        <v>792000</v>
      </c>
    </row>
    <row r="7" spans="2:7">
      <c r="B7" s="24" t="s">
        <v>113</v>
      </c>
      <c r="C7" s="24" t="s">
        <v>114</v>
      </c>
      <c r="D7" s="25">
        <v>1500000</v>
      </c>
      <c r="E7" s="25">
        <v>300000</v>
      </c>
      <c r="F7" s="25">
        <v>180000</v>
      </c>
      <c r="G7" s="25">
        <v>1620000</v>
      </c>
    </row>
    <row r="8" spans="2:7">
      <c r="B8" s="24" t="s">
        <v>115</v>
      </c>
      <c r="C8" s="24" t="s">
        <v>101</v>
      </c>
      <c r="D8" s="25">
        <v>1200000</v>
      </c>
      <c r="E8" s="25">
        <v>180000</v>
      </c>
      <c r="F8" s="25">
        <v>138000</v>
      </c>
      <c r="G8" s="25">
        <v>1242000</v>
      </c>
    </row>
    <row r="9" spans="2:7">
      <c r="B9" s="24" t="s">
        <v>116</v>
      </c>
      <c r="C9" s="24" t="s">
        <v>102</v>
      </c>
      <c r="D9" s="25">
        <v>800000</v>
      </c>
      <c r="E9" s="25">
        <v>80000</v>
      </c>
      <c r="F9" s="25">
        <v>88000</v>
      </c>
      <c r="G9" s="25">
        <v>792000</v>
      </c>
    </row>
    <row r="10" spans="2:7">
      <c r="B10" s="24" t="s">
        <v>117</v>
      </c>
      <c r="C10" s="24" t="s">
        <v>103</v>
      </c>
      <c r="D10" s="25">
        <v>2000000</v>
      </c>
      <c r="E10" s="25">
        <v>600000</v>
      </c>
      <c r="F10" s="25">
        <v>260000</v>
      </c>
      <c r="G10" s="25">
        <v>2340000</v>
      </c>
    </row>
    <row r="11" spans="2:7">
      <c r="B11" s="24" t="s">
        <v>118</v>
      </c>
      <c r="C11" s="24" t="s">
        <v>104</v>
      </c>
      <c r="D11" s="25">
        <v>1500000</v>
      </c>
      <c r="E11" s="25">
        <v>300000</v>
      </c>
      <c r="F11" s="25">
        <v>180000</v>
      </c>
      <c r="G11" s="25">
        <v>1620000</v>
      </c>
    </row>
    <row r="12" spans="2:7">
      <c r="B12" s="24" t="s">
        <v>119</v>
      </c>
      <c r="C12" s="24" t="s">
        <v>105</v>
      </c>
      <c r="D12" s="25">
        <v>1500000</v>
      </c>
      <c r="E12" s="25">
        <v>300000</v>
      </c>
      <c r="F12" s="25">
        <v>180000</v>
      </c>
      <c r="G12" s="25">
        <v>1620000</v>
      </c>
    </row>
    <row r="13" spans="2:7">
      <c r="B13" s="24" t="s">
        <v>120</v>
      </c>
      <c r="C13" s="24" t="s">
        <v>106</v>
      </c>
      <c r="D13" s="25">
        <v>1200000</v>
      </c>
      <c r="E13" s="25">
        <v>180000</v>
      </c>
      <c r="F13" s="25">
        <v>138000</v>
      </c>
      <c r="G13" s="25">
        <v>1242000</v>
      </c>
    </row>
    <row r="14" spans="2:7">
      <c r="B14" s="24" t="s">
        <v>121</v>
      </c>
      <c r="C14" s="24" t="s">
        <v>107</v>
      </c>
      <c r="D14" s="25">
        <v>800000</v>
      </c>
      <c r="E14" s="25">
        <v>80000</v>
      </c>
      <c r="F14" s="25">
        <v>88000</v>
      </c>
      <c r="G14" s="25">
        <v>792000</v>
      </c>
    </row>
  </sheetData>
  <mergeCells count="1">
    <mergeCell ref="B1:G1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G17"/>
  <sheetViews>
    <sheetView workbookViewId="0"/>
  </sheetViews>
  <sheetFormatPr defaultRowHeight="16.5" outlineLevelRow="2"/>
  <cols>
    <col min="1" max="1" width="2.625" customWidth="1"/>
    <col min="2" max="2" width="8" style="26" bestFit="1" customWidth="1"/>
    <col min="3" max="3" width="7.125" style="26" bestFit="1" customWidth="1"/>
    <col min="4" max="4" width="10.875" style="26" bestFit="1" customWidth="1"/>
    <col min="5" max="6" width="9.375" style="26" bestFit="1" customWidth="1"/>
    <col min="7" max="7" width="10.875" style="26" bestFit="1" customWidth="1"/>
  </cols>
  <sheetData>
    <row r="1" spans="2:7" ht="20.25">
      <c r="B1" s="120" t="s">
        <v>108</v>
      </c>
      <c r="C1" s="120"/>
      <c r="D1" s="120"/>
      <c r="E1" s="120"/>
      <c r="F1" s="120"/>
      <c r="G1" s="120"/>
    </row>
    <row r="2" spans="2:7">
      <c r="B2" s="23"/>
      <c r="C2" s="23"/>
      <c r="D2" s="23"/>
      <c r="E2" s="23"/>
      <c r="F2" s="23"/>
      <c r="G2" s="23"/>
    </row>
    <row r="3" spans="2:7">
      <c r="B3" s="22" t="s">
        <v>109</v>
      </c>
      <c r="C3" s="22" t="s">
        <v>93</v>
      </c>
      <c r="D3" s="22" t="s">
        <v>94</v>
      </c>
      <c r="E3" s="22" t="s">
        <v>95</v>
      </c>
      <c r="F3" s="22" t="s">
        <v>96</v>
      </c>
      <c r="G3" s="22" t="s">
        <v>97</v>
      </c>
    </row>
    <row r="4" spans="2:7" outlineLevel="2">
      <c r="B4" s="24" t="s">
        <v>110</v>
      </c>
      <c r="C4" s="24" t="s">
        <v>98</v>
      </c>
      <c r="D4" s="25">
        <v>2000000</v>
      </c>
      <c r="E4" s="25">
        <v>600000</v>
      </c>
      <c r="F4" s="25">
        <v>260000</v>
      </c>
      <c r="G4" s="25">
        <v>2340000</v>
      </c>
    </row>
    <row r="5" spans="2:7" outlineLevel="2">
      <c r="B5" s="24" t="s">
        <v>111</v>
      </c>
      <c r="C5" s="24" t="s">
        <v>99</v>
      </c>
      <c r="D5" s="25">
        <v>2000000</v>
      </c>
      <c r="E5" s="25">
        <v>600000</v>
      </c>
      <c r="F5" s="25">
        <v>260000</v>
      </c>
      <c r="G5" s="25">
        <v>2340000</v>
      </c>
    </row>
    <row r="6" spans="2:7" outlineLevel="2">
      <c r="B6" s="24" t="s">
        <v>115</v>
      </c>
      <c r="C6" s="24" t="s">
        <v>101</v>
      </c>
      <c r="D6" s="25">
        <v>1200000</v>
      </c>
      <c r="E6" s="25">
        <v>180000</v>
      </c>
      <c r="F6" s="25">
        <v>138000</v>
      </c>
      <c r="G6" s="25">
        <v>1242000</v>
      </c>
    </row>
    <row r="7" spans="2:7" outlineLevel="2">
      <c r="B7" s="24" t="s">
        <v>117</v>
      </c>
      <c r="C7" s="24" t="s">
        <v>103</v>
      </c>
      <c r="D7" s="25">
        <v>2000000</v>
      </c>
      <c r="E7" s="25">
        <v>600000</v>
      </c>
      <c r="F7" s="25">
        <v>260000</v>
      </c>
      <c r="G7" s="25">
        <v>2340000</v>
      </c>
    </row>
    <row r="8" spans="2:7" outlineLevel="2">
      <c r="B8" s="24" t="s">
        <v>119</v>
      </c>
      <c r="C8" s="24" t="s">
        <v>105</v>
      </c>
      <c r="D8" s="25">
        <v>1500000</v>
      </c>
      <c r="E8" s="25">
        <v>300000</v>
      </c>
      <c r="F8" s="25">
        <v>180000</v>
      </c>
      <c r="G8" s="25">
        <v>1620000</v>
      </c>
    </row>
    <row r="9" spans="2:7" outlineLevel="2">
      <c r="B9" s="24" t="s">
        <v>120</v>
      </c>
      <c r="C9" s="24" t="s">
        <v>106</v>
      </c>
      <c r="D9" s="25">
        <v>1200000</v>
      </c>
      <c r="E9" s="25">
        <v>180000</v>
      </c>
      <c r="F9" s="25">
        <v>138000</v>
      </c>
      <c r="G9" s="25">
        <v>1242000</v>
      </c>
    </row>
    <row r="10" spans="2:7" outlineLevel="1">
      <c r="B10" s="86" t="s">
        <v>283</v>
      </c>
      <c r="C10" s="24"/>
      <c r="D10" s="25"/>
      <c r="E10" s="25"/>
      <c r="F10" s="25"/>
      <c r="G10" s="25">
        <f>SUBTOTAL(9,G4:G9)</f>
        <v>11124000</v>
      </c>
    </row>
    <row r="11" spans="2:7" outlineLevel="2">
      <c r="B11" s="24" t="s">
        <v>112</v>
      </c>
      <c r="C11" s="24" t="s">
        <v>100</v>
      </c>
      <c r="D11" s="25">
        <v>800000</v>
      </c>
      <c r="E11" s="25">
        <v>80000</v>
      </c>
      <c r="F11" s="25">
        <v>88000</v>
      </c>
      <c r="G11" s="25">
        <v>792000</v>
      </c>
    </row>
    <row r="12" spans="2:7" outlineLevel="2">
      <c r="B12" s="24" t="s">
        <v>113</v>
      </c>
      <c r="C12" s="24" t="s">
        <v>114</v>
      </c>
      <c r="D12" s="25">
        <v>1500000</v>
      </c>
      <c r="E12" s="25">
        <v>300000</v>
      </c>
      <c r="F12" s="25">
        <v>180000</v>
      </c>
      <c r="G12" s="25">
        <v>1620000</v>
      </c>
    </row>
    <row r="13" spans="2:7" outlineLevel="2">
      <c r="B13" s="24" t="s">
        <v>116</v>
      </c>
      <c r="C13" s="24" t="s">
        <v>102</v>
      </c>
      <c r="D13" s="25">
        <v>800000</v>
      </c>
      <c r="E13" s="25">
        <v>80000</v>
      </c>
      <c r="F13" s="25">
        <v>88000</v>
      </c>
      <c r="G13" s="25">
        <v>792000</v>
      </c>
    </row>
    <row r="14" spans="2:7" outlineLevel="2">
      <c r="B14" s="24" t="s">
        <v>118</v>
      </c>
      <c r="C14" s="24" t="s">
        <v>104</v>
      </c>
      <c r="D14" s="25">
        <v>1500000</v>
      </c>
      <c r="E14" s="25">
        <v>300000</v>
      </c>
      <c r="F14" s="25">
        <v>180000</v>
      </c>
      <c r="G14" s="25">
        <v>1620000</v>
      </c>
    </row>
    <row r="15" spans="2:7" outlineLevel="2">
      <c r="B15" s="24" t="s">
        <v>121</v>
      </c>
      <c r="C15" s="24" t="s">
        <v>107</v>
      </c>
      <c r="D15" s="25">
        <v>800000</v>
      </c>
      <c r="E15" s="25">
        <v>80000</v>
      </c>
      <c r="F15" s="25">
        <v>88000</v>
      </c>
      <c r="G15" s="25">
        <v>792000</v>
      </c>
    </row>
    <row r="16" spans="2:7" outlineLevel="1">
      <c r="B16" s="89" t="s">
        <v>284</v>
      </c>
      <c r="C16" s="87"/>
      <c r="D16" s="88"/>
      <c r="E16" s="88"/>
      <c r="F16" s="88"/>
      <c r="G16" s="88">
        <f>SUBTOTAL(9,G11:G15)</f>
        <v>5616000</v>
      </c>
    </row>
    <row r="17" spans="2:7">
      <c r="B17" s="89" t="s">
        <v>0</v>
      </c>
      <c r="C17" s="87"/>
      <c r="D17" s="88"/>
      <c r="E17" s="88"/>
      <c r="F17" s="88"/>
      <c r="G17" s="88">
        <f>SUBTOTAL(9,G4:G15)</f>
        <v>16740000</v>
      </c>
    </row>
  </sheetData>
  <sortState ref="B4:G14">
    <sortCondition ref="B3"/>
  </sortState>
  <mergeCells count="1">
    <mergeCell ref="B1:G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H12"/>
  <sheetViews>
    <sheetView workbookViewId="0"/>
  </sheetViews>
  <sheetFormatPr defaultRowHeight="16.5"/>
  <cols>
    <col min="1" max="1" width="2.625" customWidth="1"/>
  </cols>
  <sheetData>
    <row r="1" spans="2:8" ht="17.25">
      <c r="B1" s="121" t="s">
        <v>122</v>
      </c>
      <c r="C1" s="121"/>
      <c r="D1" s="121"/>
      <c r="E1" s="121"/>
      <c r="F1" s="121"/>
      <c r="G1" s="121"/>
      <c r="H1" s="121"/>
    </row>
    <row r="2" spans="2:8">
      <c r="B2" s="27"/>
      <c r="C2" s="27"/>
      <c r="D2" s="27"/>
      <c r="E2" s="27"/>
      <c r="F2" s="27"/>
      <c r="G2" s="27"/>
      <c r="H2" s="27"/>
    </row>
    <row r="3" spans="2:8">
      <c r="B3" s="22" t="s">
        <v>47</v>
      </c>
      <c r="C3" s="22" t="s">
        <v>123</v>
      </c>
      <c r="D3" s="22" t="s">
        <v>124</v>
      </c>
      <c r="E3" s="22" t="s">
        <v>125</v>
      </c>
      <c r="F3" s="22" t="s">
        <v>126</v>
      </c>
      <c r="G3" s="22" t="s">
        <v>127</v>
      </c>
      <c r="H3" s="22" t="s">
        <v>128</v>
      </c>
    </row>
    <row r="4" spans="2:8">
      <c r="B4" s="22" t="s">
        <v>129</v>
      </c>
      <c r="C4" s="22" t="s">
        <v>130</v>
      </c>
      <c r="D4" s="22">
        <v>85</v>
      </c>
      <c r="E4" s="28">
        <v>92</v>
      </c>
      <c r="F4" s="28">
        <v>9</v>
      </c>
      <c r="G4" s="29">
        <v>89</v>
      </c>
      <c r="H4" s="30" t="s">
        <v>131</v>
      </c>
    </row>
    <row r="5" spans="2:8">
      <c r="B5" s="22" t="s">
        <v>132</v>
      </c>
      <c r="C5" s="22" t="s">
        <v>133</v>
      </c>
      <c r="D5" s="22">
        <v>64</v>
      </c>
      <c r="E5" s="28">
        <v>75</v>
      </c>
      <c r="F5" s="28">
        <v>7</v>
      </c>
      <c r="G5" s="29">
        <v>70.099999999999994</v>
      </c>
      <c r="H5" s="30" t="s">
        <v>134</v>
      </c>
    </row>
    <row r="6" spans="2:8">
      <c r="B6" s="22" t="s">
        <v>135</v>
      </c>
      <c r="C6" s="22" t="s">
        <v>130</v>
      </c>
      <c r="D6" s="22">
        <v>79</v>
      </c>
      <c r="E6" s="28">
        <v>63</v>
      </c>
      <c r="F6" s="28">
        <v>7</v>
      </c>
      <c r="G6" s="29">
        <v>70.099999999999994</v>
      </c>
      <c r="H6" s="30" t="s">
        <v>134</v>
      </c>
    </row>
    <row r="7" spans="2:8">
      <c r="B7" s="22" t="s">
        <v>136</v>
      </c>
      <c r="C7" s="22" t="s">
        <v>137</v>
      </c>
      <c r="D7" s="22">
        <v>86</v>
      </c>
      <c r="E7" s="28">
        <v>84</v>
      </c>
      <c r="F7" s="28">
        <v>10</v>
      </c>
      <c r="G7" s="29">
        <v>86.4</v>
      </c>
      <c r="H7" s="30" t="s">
        <v>138</v>
      </c>
    </row>
    <row r="8" spans="2:8">
      <c r="B8" s="22" t="s">
        <v>139</v>
      </c>
      <c r="C8" s="22" t="s">
        <v>137</v>
      </c>
      <c r="D8" s="22">
        <v>54</v>
      </c>
      <c r="E8" s="28">
        <v>45</v>
      </c>
      <c r="F8" s="28">
        <v>5</v>
      </c>
      <c r="G8" s="29">
        <v>49.1</v>
      </c>
      <c r="H8" s="30" t="s">
        <v>140</v>
      </c>
    </row>
    <row r="9" spans="2:8">
      <c r="B9" s="22" t="s">
        <v>141</v>
      </c>
      <c r="C9" s="22" t="s">
        <v>133</v>
      </c>
      <c r="D9" s="22">
        <v>96</v>
      </c>
      <c r="E9" s="28">
        <v>89</v>
      </c>
      <c r="F9" s="28">
        <v>9</v>
      </c>
      <c r="G9" s="29">
        <v>91.9</v>
      </c>
      <c r="H9" s="30" t="s">
        <v>131</v>
      </c>
    </row>
    <row r="10" spans="2:8">
      <c r="B10" s="22" t="s">
        <v>142</v>
      </c>
      <c r="C10" s="22" t="s">
        <v>137</v>
      </c>
      <c r="D10" s="22">
        <v>63</v>
      </c>
      <c r="E10" s="28">
        <v>65</v>
      </c>
      <c r="F10" s="28">
        <v>6</v>
      </c>
      <c r="G10" s="29">
        <v>63.7</v>
      </c>
      <c r="H10" s="30" t="s">
        <v>143</v>
      </c>
    </row>
    <row r="11" spans="2:8">
      <c r="B11" s="22" t="s">
        <v>144</v>
      </c>
      <c r="C11" s="22" t="s">
        <v>133</v>
      </c>
      <c r="D11" s="22">
        <v>78</v>
      </c>
      <c r="E11" s="28">
        <v>74</v>
      </c>
      <c r="F11" s="28">
        <v>8</v>
      </c>
      <c r="G11" s="29">
        <v>76.2</v>
      </c>
      <c r="H11" s="30" t="s">
        <v>134</v>
      </c>
    </row>
    <row r="12" spans="2:8">
      <c r="B12" s="31" t="s">
        <v>145</v>
      </c>
      <c r="C12" s="31" t="s">
        <v>133</v>
      </c>
      <c r="D12" s="31">
        <v>85</v>
      </c>
      <c r="E12" s="32">
        <v>86</v>
      </c>
      <c r="F12" s="32">
        <v>9</v>
      </c>
      <c r="G12" s="29">
        <v>86</v>
      </c>
      <c r="H12" s="33" t="s">
        <v>138</v>
      </c>
    </row>
  </sheetData>
  <mergeCells count="1">
    <mergeCell ref="B1:H1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H20"/>
  <sheetViews>
    <sheetView workbookViewId="0"/>
  </sheetViews>
  <sheetFormatPr defaultRowHeight="16.5" outlineLevelRow="3"/>
  <cols>
    <col min="1" max="1" width="2.625" customWidth="1"/>
    <col min="3" max="3" width="13.125" bestFit="1" customWidth="1"/>
  </cols>
  <sheetData>
    <row r="1" spans="2:8" ht="17.25">
      <c r="B1" s="121" t="s">
        <v>122</v>
      </c>
      <c r="C1" s="121"/>
      <c r="D1" s="121"/>
      <c r="E1" s="121"/>
      <c r="F1" s="121"/>
      <c r="G1" s="121"/>
      <c r="H1" s="121"/>
    </row>
    <row r="2" spans="2:8">
      <c r="B2" s="27"/>
      <c r="C2" s="27"/>
      <c r="D2" s="27"/>
      <c r="E2" s="27"/>
      <c r="F2" s="27"/>
      <c r="G2" s="27"/>
      <c r="H2" s="27"/>
    </row>
    <row r="3" spans="2:8">
      <c r="B3" s="22" t="s">
        <v>47</v>
      </c>
      <c r="C3" s="22" t="s">
        <v>123</v>
      </c>
      <c r="D3" s="22" t="s">
        <v>124</v>
      </c>
      <c r="E3" s="22" t="s">
        <v>125</v>
      </c>
      <c r="F3" s="22" t="s">
        <v>126</v>
      </c>
      <c r="G3" s="22" t="s">
        <v>127</v>
      </c>
      <c r="H3" s="22" t="s">
        <v>128</v>
      </c>
    </row>
    <row r="4" spans="2:8" outlineLevel="3">
      <c r="B4" s="22" t="s">
        <v>132</v>
      </c>
      <c r="C4" s="22" t="s">
        <v>133</v>
      </c>
      <c r="D4" s="22">
        <v>64</v>
      </c>
      <c r="E4" s="28">
        <v>75</v>
      </c>
      <c r="F4" s="28">
        <v>7</v>
      </c>
      <c r="G4" s="29">
        <v>70.099999999999994</v>
      </c>
      <c r="H4" s="30" t="s">
        <v>134</v>
      </c>
    </row>
    <row r="5" spans="2:8" outlineLevel="3">
      <c r="B5" s="22" t="s">
        <v>141</v>
      </c>
      <c r="C5" s="22" t="s">
        <v>133</v>
      </c>
      <c r="D5" s="22">
        <v>96</v>
      </c>
      <c r="E5" s="28">
        <v>89</v>
      </c>
      <c r="F5" s="28">
        <v>9</v>
      </c>
      <c r="G5" s="29">
        <v>91.9</v>
      </c>
      <c r="H5" s="30" t="s">
        <v>131</v>
      </c>
    </row>
    <row r="6" spans="2:8" outlineLevel="3">
      <c r="B6" s="22" t="s">
        <v>144</v>
      </c>
      <c r="C6" s="22" t="s">
        <v>133</v>
      </c>
      <c r="D6" s="22">
        <v>78</v>
      </c>
      <c r="E6" s="28">
        <v>74</v>
      </c>
      <c r="F6" s="28">
        <v>8</v>
      </c>
      <c r="G6" s="29">
        <v>76.2</v>
      </c>
      <c r="H6" s="30" t="s">
        <v>134</v>
      </c>
    </row>
    <row r="7" spans="2:8" outlineLevel="3">
      <c r="B7" s="31" t="s">
        <v>145</v>
      </c>
      <c r="C7" s="31" t="s">
        <v>133</v>
      </c>
      <c r="D7" s="31">
        <v>85</v>
      </c>
      <c r="E7" s="32">
        <v>86</v>
      </c>
      <c r="F7" s="32">
        <v>9</v>
      </c>
      <c r="G7" s="29">
        <v>86</v>
      </c>
      <c r="H7" s="33" t="s">
        <v>138</v>
      </c>
    </row>
    <row r="8" spans="2:8" outlineLevel="2">
      <c r="B8" s="31"/>
      <c r="C8" s="90" t="s">
        <v>289</v>
      </c>
      <c r="D8" s="31"/>
      <c r="E8" s="32"/>
      <c r="F8" s="32"/>
      <c r="G8" s="29">
        <f>SUBTOTAL(5,G4:G7)</f>
        <v>70.099999999999994</v>
      </c>
      <c r="H8" s="33"/>
    </row>
    <row r="9" spans="2:8" outlineLevel="1">
      <c r="B9" s="31"/>
      <c r="C9" s="90" t="s">
        <v>285</v>
      </c>
      <c r="D9" s="31"/>
      <c r="E9" s="32"/>
      <c r="F9" s="32"/>
      <c r="G9" s="29">
        <f>SUBTOTAL(4,G4:G7)</f>
        <v>91.9</v>
      </c>
      <c r="H9" s="33"/>
    </row>
    <row r="10" spans="2:8" outlineLevel="3">
      <c r="B10" s="22" t="s">
        <v>136</v>
      </c>
      <c r="C10" s="22" t="s">
        <v>137</v>
      </c>
      <c r="D10" s="22">
        <v>86</v>
      </c>
      <c r="E10" s="28">
        <v>84</v>
      </c>
      <c r="F10" s="28">
        <v>10</v>
      </c>
      <c r="G10" s="29">
        <v>86.4</v>
      </c>
      <c r="H10" s="30" t="s">
        <v>138</v>
      </c>
    </row>
    <row r="11" spans="2:8" outlineLevel="3">
      <c r="B11" s="22" t="s">
        <v>139</v>
      </c>
      <c r="C11" s="22" t="s">
        <v>137</v>
      </c>
      <c r="D11" s="22">
        <v>54</v>
      </c>
      <c r="E11" s="28">
        <v>45</v>
      </c>
      <c r="F11" s="28">
        <v>5</v>
      </c>
      <c r="G11" s="29">
        <v>49.1</v>
      </c>
      <c r="H11" s="30" t="s">
        <v>140</v>
      </c>
    </row>
    <row r="12" spans="2:8" outlineLevel="3">
      <c r="B12" s="22" t="s">
        <v>142</v>
      </c>
      <c r="C12" s="22" t="s">
        <v>137</v>
      </c>
      <c r="D12" s="22">
        <v>63</v>
      </c>
      <c r="E12" s="28">
        <v>65</v>
      </c>
      <c r="F12" s="28">
        <v>6</v>
      </c>
      <c r="G12" s="29">
        <v>63.7</v>
      </c>
      <c r="H12" s="30" t="s">
        <v>143</v>
      </c>
    </row>
    <row r="13" spans="2:8" outlineLevel="2">
      <c r="B13" s="22"/>
      <c r="C13" s="91" t="s">
        <v>290</v>
      </c>
      <c r="D13" s="22"/>
      <c r="E13" s="28"/>
      <c r="F13" s="28"/>
      <c r="G13" s="29">
        <f>SUBTOTAL(5,G10:G12)</f>
        <v>49.1</v>
      </c>
      <c r="H13" s="30"/>
    </row>
    <row r="14" spans="2:8" outlineLevel="1">
      <c r="B14" s="22"/>
      <c r="C14" s="91" t="s">
        <v>286</v>
      </c>
      <c r="D14" s="22"/>
      <c r="E14" s="28"/>
      <c r="F14" s="28"/>
      <c r="G14" s="29">
        <f>SUBTOTAL(4,G10:G12)</f>
        <v>86.4</v>
      </c>
      <c r="H14" s="30"/>
    </row>
    <row r="15" spans="2:8" outlineLevel="3">
      <c r="B15" s="22" t="s">
        <v>129</v>
      </c>
      <c r="C15" s="22" t="s">
        <v>130</v>
      </c>
      <c r="D15" s="22">
        <v>85</v>
      </c>
      <c r="E15" s="28">
        <v>92</v>
      </c>
      <c r="F15" s="28">
        <v>9</v>
      </c>
      <c r="G15" s="29">
        <v>89</v>
      </c>
      <c r="H15" s="30" t="s">
        <v>131</v>
      </c>
    </row>
    <row r="16" spans="2:8" outlineLevel="3">
      <c r="B16" s="22" t="s">
        <v>135</v>
      </c>
      <c r="C16" s="22" t="s">
        <v>130</v>
      </c>
      <c r="D16" s="22">
        <v>79</v>
      </c>
      <c r="E16" s="28">
        <v>63</v>
      </c>
      <c r="F16" s="28">
        <v>7</v>
      </c>
      <c r="G16" s="29">
        <v>70.099999999999994</v>
      </c>
      <c r="H16" s="30" t="s">
        <v>134</v>
      </c>
    </row>
    <row r="17" spans="2:8" outlineLevel="2">
      <c r="B17" s="92"/>
      <c r="C17" s="96" t="s">
        <v>291</v>
      </c>
      <c r="D17" s="92"/>
      <c r="E17" s="93"/>
      <c r="F17" s="93"/>
      <c r="G17" s="94">
        <f>SUBTOTAL(5,G15:G16)</f>
        <v>70.099999999999994</v>
      </c>
      <c r="H17" s="95"/>
    </row>
    <row r="18" spans="2:8" outlineLevel="1">
      <c r="B18" s="92"/>
      <c r="C18" s="96" t="s">
        <v>287</v>
      </c>
      <c r="D18" s="92"/>
      <c r="E18" s="93"/>
      <c r="F18" s="93"/>
      <c r="G18" s="94">
        <f>SUBTOTAL(4,G15:G16)</f>
        <v>89</v>
      </c>
      <c r="H18" s="95"/>
    </row>
    <row r="19" spans="2:8">
      <c r="B19" s="92"/>
      <c r="C19" s="96" t="s">
        <v>292</v>
      </c>
      <c r="D19" s="92"/>
      <c r="E19" s="93"/>
      <c r="F19" s="93"/>
      <c r="G19" s="94">
        <f>SUBTOTAL(5,G4:G16)</f>
        <v>49.1</v>
      </c>
      <c r="H19" s="95"/>
    </row>
    <row r="20" spans="2:8">
      <c r="B20" s="92"/>
      <c r="C20" s="96" t="s">
        <v>288</v>
      </c>
      <c r="D20" s="92"/>
      <c r="E20" s="93"/>
      <c r="F20" s="93"/>
      <c r="G20" s="94">
        <f>SUBTOTAL(4,G4:G16)</f>
        <v>91.9</v>
      </c>
      <c r="H20" s="95"/>
    </row>
  </sheetData>
  <sortState ref="B4:H12">
    <sortCondition ref="C3"/>
  </sortState>
  <mergeCells count="1">
    <mergeCell ref="B1:H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5"/>
  <sheetViews>
    <sheetView workbookViewId="0"/>
  </sheetViews>
  <sheetFormatPr defaultRowHeight="16.5"/>
  <sheetData>
    <row r="1" spans="1:10">
      <c r="A1" s="34" t="s">
        <v>146</v>
      </c>
      <c r="B1" s="34"/>
      <c r="C1" s="34"/>
      <c r="D1" s="34"/>
      <c r="E1" s="34"/>
      <c r="F1" s="34"/>
      <c r="G1" s="34"/>
      <c r="H1" s="34"/>
      <c r="I1" s="34"/>
      <c r="J1" s="35"/>
    </row>
    <row r="2" spans="1:10">
      <c r="A2" s="34"/>
      <c r="B2" s="34"/>
      <c r="C2" s="34"/>
      <c r="D2" s="35"/>
      <c r="E2" s="35"/>
      <c r="F2" s="35"/>
      <c r="G2" s="35"/>
      <c r="H2" s="35"/>
      <c r="I2" s="35"/>
      <c r="J2" s="35"/>
    </row>
    <row r="3" spans="1:10">
      <c r="A3" s="36" t="s">
        <v>147</v>
      </c>
      <c r="B3" s="37">
        <v>30</v>
      </c>
      <c r="C3" s="34"/>
      <c r="D3" s="35"/>
      <c r="E3" s="35"/>
      <c r="F3" s="35"/>
      <c r="G3" s="35"/>
      <c r="H3" s="35"/>
      <c r="I3" s="35"/>
      <c r="J3" s="35"/>
    </row>
    <row r="4" spans="1:10">
      <c r="A4" s="38" t="s">
        <v>148</v>
      </c>
      <c r="B4" s="39">
        <v>100</v>
      </c>
      <c r="C4" s="34"/>
      <c r="D4" s="40"/>
      <c r="E4" s="41"/>
      <c r="F4" s="122" t="s">
        <v>149</v>
      </c>
      <c r="G4" s="122"/>
      <c r="H4" s="122"/>
      <c r="I4" s="122"/>
      <c r="J4" s="122"/>
    </row>
    <row r="5" spans="1:10">
      <c r="A5" s="42" t="s">
        <v>150</v>
      </c>
      <c r="B5" s="43">
        <f>B3*B4</f>
        <v>3000</v>
      </c>
      <c r="C5" s="34"/>
      <c r="D5" s="44"/>
      <c r="E5" s="45"/>
      <c r="F5" s="46">
        <v>10</v>
      </c>
      <c r="G5" s="46">
        <v>20</v>
      </c>
      <c r="H5" s="46">
        <v>30</v>
      </c>
      <c r="I5" s="46">
        <v>40</v>
      </c>
      <c r="J5" s="46">
        <v>50</v>
      </c>
    </row>
    <row r="6" spans="1:10">
      <c r="A6" s="34"/>
      <c r="B6" s="47"/>
      <c r="C6" s="34"/>
      <c r="D6" s="123" t="s">
        <v>151</v>
      </c>
      <c r="E6" s="48">
        <v>50</v>
      </c>
      <c r="F6" s="48"/>
      <c r="G6" s="48"/>
      <c r="H6" s="48"/>
      <c r="I6" s="48"/>
      <c r="J6" s="48"/>
    </row>
    <row r="7" spans="1:10">
      <c r="A7" s="36" t="s">
        <v>152</v>
      </c>
      <c r="B7" s="49">
        <v>900</v>
      </c>
      <c r="C7" s="34"/>
      <c r="D7" s="124"/>
      <c r="E7" s="48">
        <v>60</v>
      </c>
      <c r="F7" s="48"/>
      <c r="G7" s="48"/>
      <c r="H7" s="48"/>
      <c r="I7" s="48"/>
      <c r="J7" s="48"/>
    </row>
    <row r="8" spans="1:10">
      <c r="A8" s="42" t="s">
        <v>153</v>
      </c>
      <c r="B8" s="45">
        <f>B5-B7</f>
        <v>2100</v>
      </c>
      <c r="C8" s="34"/>
      <c r="D8" s="124"/>
      <c r="E8" s="48">
        <v>70</v>
      </c>
      <c r="F8" s="48"/>
      <c r="G8" s="48"/>
      <c r="H8" s="48"/>
      <c r="I8" s="48"/>
      <c r="J8" s="48"/>
    </row>
    <row r="9" spans="1:10">
      <c r="A9" s="34"/>
      <c r="B9" s="47"/>
      <c r="C9" s="34"/>
      <c r="D9" s="124"/>
      <c r="E9" s="48">
        <v>80</v>
      </c>
      <c r="F9" s="48"/>
      <c r="G9" s="48"/>
      <c r="H9" s="48"/>
      <c r="I9" s="48"/>
      <c r="J9" s="48"/>
    </row>
    <row r="10" spans="1:10">
      <c r="A10" s="36" t="s">
        <v>154</v>
      </c>
      <c r="B10" s="49">
        <v>50</v>
      </c>
      <c r="C10" s="34"/>
      <c r="D10" s="124"/>
      <c r="E10" s="48">
        <v>90</v>
      </c>
      <c r="F10" s="48"/>
      <c r="G10" s="48"/>
      <c r="H10" s="48"/>
      <c r="I10" s="48"/>
      <c r="J10" s="48"/>
    </row>
    <row r="11" spans="1:10">
      <c r="A11" s="38" t="s">
        <v>155</v>
      </c>
      <c r="B11" s="39">
        <v>10</v>
      </c>
      <c r="C11" s="34"/>
      <c r="D11" s="124"/>
      <c r="E11" s="48">
        <v>100</v>
      </c>
      <c r="F11" s="48"/>
      <c r="G11" s="48"/>
      <c r="H11" s="48"/>
      <c r="I11" s="48"/>
      <c r="J11" s="48"/>
    </row>
    <row r="12" spans="1:10">
      <c r="A12" s="42" t="s">
        <v>156</v>
      </c>
      <c r="B12" s="45">
        <f>$B$8-$B$10-$B$11</f>
        <v>2040</v>
      </c>
      <c r="C12" s="34"/>
      <c r="D12" s="124"/>
      <c r="E12" s="48">
        <v>110</v>
      </c>
      <c r="F12" s="48"/>
      <c r="G12" s="48"/>
      <c r="H12" s="48"/>
      <c r="I12" s="48"/>
      <c r="J12" s="48"/>
    </row>
    <row r="13" spans="1:10">
      <c r="A13" s="35"/>
      <c r="B13" s="35"/>
      <c r="C13" s="35"/>
      <c r="D13" s="124"/>
      <c r="E13" s="48">
        <v>120</v>
      </c>
      <c r="F13" s="48"/>
      <c r="G13" s="48"/>
      <c r="H13" s="48"/>
      <c r="I13" s="48"/>
      <c r="J13" s="48"/>
    </row>
    <row r="14" spans="1:10">
      <c r="A14" s="35"/>
      <c r="B14" s="35"/>
      <c r="C14" s="35"/>
      <c r="D14" s="124"/>
      <c r="E14" s="48">
        <v>130</v>
      </c>
      <c r="F14" s="48"/>
      <c r="G14" s="48"/>
      <c r="H14" s="48"/>
      <c r="I14" s="48"/>
      <c r="J14" s="48"/>
    </row>
    <row r="15" spans="1:10">
      <c r="A15" s="35"/>
      <c r="B15" s="35"/>
      <c r="C15" s="35"/>
      <c r="D15" s="124"/>
      <c r="E15" s="48">
        <v>140</v>
      </c>
      <c r="F15" s="48"/>
      <c r="G15" s="48"/>
      <c r="H15" s="48"/>
      <c r="I15" s="48"/>
      <c r="J15" s="48"/>
    </row>
  </sheetData>
  <mergeCells count="2">
    <mergeCell ref="F4:J4"/>
    <mergeCell ref="D6:D1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5"/>
  <sheetViews>
    <sheetView workbookViewId="0"/>
  </sheetViews>
  <sheetFormatPr defaultRowHeight="16.5"/>
  <sheetData>
    <row r="1" spans="1:10">
      <c r="A1" s="34" t="s">
        <v>146</v>
      </c>
      <c r="B1" s="34"/>
      <c r="C1" s="34"/>
      <c r="D1" s="34"/>
      <c r="E1" s="34"/>
      <c r="F1" s="34"/>
      <c r="G1" s="34"/>
      <c r="H1" s="34"/>
      <c r="I1" s="34"/>
      <c r="J1" s="35"/>
    </row>
    <row r="2" spans="1:10">
      <c r="A2" s="34"/>
      <c r="B2" s="34"/>
      <c r="C2" s="34"/>
      <c r="D2" s="35"/>
      <c r="E2" s="35"/>
      <c r="F2" s="35"/>
      <c r="G2" s="35"/>
      <c r="H2" s="35"/>
      <c r="I2" s="35"/>
      <c r="J2" s="35"/>
    </row>
    <row r="3" spans="1:10">
      <c r="A3" s="36" t="s">
        <v>147</v>
      </c>
      <c r="B3" s="37">
        <v>30</v>
      </c>
      <c r="C3" s="34"/>
      <c r="D3" s="35"/>
      <c r="E3" s="35"/>
      <c r="F3" s="35"/>
      <c r="G3" s="35"/>
      <c r="H3" s="35"/>
      <c r="I3" s="35"/>
      <c r="J3" s="35"/>
    </row>
    <row r="4" spans="1:10">
      <c r="A4" s="38" t="s">
        <v>148</v>
      </c>
      <c r="B4" s="39">
        <v>100</v>
      </c>
      <c r="C4" s="34"/>
      <c r="D4" s="40"/>
      <c r="E4" s="41"/>
      <c r="F4" s="122" t="s">
        <v>149</v>
      </c>
      <c r="G4" s="122"/>
      <c r="H4" s="122"/>
      <c r="I4" s="122"/>
      <c r="J4" s="122"/>
    </row>
    <row r="5" spans="1:10">
      <c r="A5" s="42" t="s">
        <v>150</v>
      </c>
      <c r="B5" s="43">
        <f>B3*B4</f>
        <v>3000</v>
      </c>
      <c r="C5" s="34"/>
      <c r="D5" s="44"/>
      <c r="E5" s="45">
        <f>B12</f>
        <v>2040</v>
      </c>
      <c r="F5" s="46">
        <v>10</v>
      </c>
      <c r="G5" s="46">
        <v>20</v>
      </c>
      <c r="H5" s="46">
        <v>30</v>
      </c>
      <c r="I5" s="46">
        <v>40</v>
      </c>
      <c r="J5" s="46">
        <v>50</v>
      </c>
    </row>
    <row r="6" spans="1:10">
      <c r="A6" s="34"/>
      <c r="B6" s="47"/>
      <c r="C6" s="34"/>
      <c r="D6" s="123" t="s">
        <v>151</v>
      </c>
      <c r="E6" s="48">
        <v>50</v>
      </c>
      <c r="F6" s="48">
        <f t="dataTable" ref="F6:J15" dt2D="1" dtr="1" r1="B3" r2="B4"/>
        <v>-460</v>
      </c>
      <c r="G6" s="48">
        <v>40</v>
      </c>
      <c r="H6" s="48">
        <v>540</v>
      </c>
      <c r="I6" s="48">
        <v>1040</v>
      </c>
      <c r="J6" s="48">
        <v>1540</v>
      </c>
    </row>
    <row r="7" spans="1:10">
      <c r="A7" s="36" t="s">
        <v>152</v>
      </c>
      <c r="B7" s="49">
        <v>900</v>
      </c>
      <c r="C7" s="34"/>
      <c r="D7" s="124"/>
      <c r="E7" s="48">
        <v>60</v>
      </c>
      <c r="F7" s="48">
        <v>-360</v>
      </c>
      <c r="G7" s="48">
        <v>240</v>
      </c>
      <c r="H7" s="48">
        <v>840</v>
      </c>
      <c r="I7" s="48">
        <v>1440</v>
      </c>
      <c r="J7" s="48">
        <v>2040</v>
      </c>
    </row>
    <row r="8" spans="1:10">
      <c r="A8" s="42" t="s">
        <v>153</v>
      </c>
      <c r="B8" s="45">
        <f>B5-B7</f>
        <v>2100</v>
      </c>
      <c r="C8" s="34"/>
      <c r="D8" s="124"/>
      <c r="E8" s="48">
        <v>70</v>
      </c>
      <c r="F8" s="48">
        <v>-260</v>
      </c>
      <c r="G8" s="48">
        <v>440</v>
      </c>
      <c r="H8" s="48">
        <v>1140</v>
      </c>
      <c r="I8" s="48">
        <v>1840</v>
      </c>
      <c r="J8" s="48">
        <v>2540</v>
      </c>
    </row>
    <row r="9" spans="1:10">
      <c r="A9" s="34"/>
      <c r="B9" s="47"/>
      <c r="C9" s="34"/>
      <c r="D9" s="124"/>
      <c r="E9" s="48">
        <v>80</v>
      </c>
      <c r="F9" s="48">
        <v>-160</v>
      </c>
      <c r="G9" s="48">
        <v>640</v>
      </c>
      <c r="H9" s="48">
        <v>1440</v>
      </c>
      <c r="I9" s="48">
        <v>2240</v>
      </c>
      <c r="J9" s="48">
        <v>3040</v>
      </c>
    </row>
    <row r="10" spans="1:10">
      <c r="A10" s="36" t="s">
        <v>154</v>
      </c>
      <c r="B10" s="49">
        <v>50</v>
      </c>
      <c r="C10" s="34"/>
      <c r="D10" s="124"/>
      <c r="E10" s="48">
        <v>90</v>
      </c>
      <c r="F10" s="48">
        <v>-60</v>
      </c>
      <c r="G10" s="48">
        <v>840</v>
      </c>
      <c r="H10" s="48">
        <v>1740</v>
      </c>
      <c r="I10" s="48">
        <v>2640</v>
      </c>
      <c r="J10" s="48">
        <v>3540</v>
      </c>
    </row>
    <row r="11" spans="1:10">
      <c r="A11" s="38" t="s">
        <v>155</v>
      </c>
      <c r="B11" s="39">
        <v>10</v>
      </c>
      <c r="C11" s="34"/>
      <c r="D11" s="124"/>
      <c r="E11" s="48">
        <v>100</v>
      </c>
      <c r="F11" s="48">
        <v>40</v>
      </c>
      <c r="G11" s="48">
        <v>1040</v>
      </c>
      <c r="H11" s="48">
        <v>2040</v>
      </c>
      <c r="I11" s="48">
        <v>3040</v>
      </c>
      <c r="J11" s="48">
        <v>4040</v>
      </c>
    </row>
    <row r="12" spans="1:10">
      <c r="A12" s="42" t="s">
        <v>156</v>
      </c>
      <c r="B12" s="45">
        <f>$B$8-$B$10-$B$11</f>
        <v>2040</v>
      </c>
      <c r="C12" s="34"/>
      <c r="D12" s="124"/>
      <c r="E12" s="48">
        <v>110</v>
      </c>
      <c r="F12" s="48">
        <v>140</v>
      </c>
      <c r="G12" s="48">
        <v>1240</v>
      </c>
      <c r="H12" s="48">
        <v>2340</v>
      </c>
      <c r="I12" s="48">
        <v>3440</v>
      </c>
      <c r="J12" s="48">
        <v>4540</v>
      </c>
    </row>
    <row r="13" spans="1:10">
      <c r="A13" s="35"/>
      <c r="B13" s="35"/>
      <c r="C13" s="35"/>
      <c r="D13" s="124"/>
      <c r="E13" s="48">
        <v>120</v>
      </c>
      <c r="F13" s="48">
        <v>240</v>
      </c>
      <c r="G13" s="48">
        <v>1440</v>
      </c>
      <c r="H13" s="48">
        <v>2640</v>
      </c>
      <c r="I13" s="48">
        <v>3840</v>
      </c>
      <c r="J13" s="48">
        <v>5040</v>
      </c>
    </row>
    <row r="14" spans="1:10">
      <c r="A14" s="35"/>
      <c r="B14" s="35"/>
      <c r="C14" s="35"/>
      <c r="D14" s="124"/>
      <c r="E14" s="48">
        <v>130</v>
      </c>
      <c r="F14" s="48">
        <v>340</v>
      </c>
      <c r="G14" s="48">
        <v>1640</v>
      </c>
      <c r="H14" s="48">
        <v>2940</v>
      </c>
      <c r="I14" s="48">
        <v>4240</v>
      </c>
      <c r="J14" s="48">
        <v>5540</v>
      </c>
    </row>
    <row r="15" spans="1:10">
      <c r="A15" s="35"/>
      <c r="B15" s="35"/>
      <c r="C15" s="35"/>
      <c r="D15" s="124"/>
      <c r="E15" s="48">
        <v>140</v>
      </c>
      <c r="F15" s="48">
        <v>440</v>
      </c>
      <c r="G15" s="48">
        <v>1840</v>
      </c>
      <c r="H15" s="48">
        <v>3240</v>
      </c>
      <c r="I15" s="48">
        <v>4640</v>
      </c>
      <c r="J15" s="48">
        <v>6040</v>
      </c>
    </row>
  </sheetData>
  <mergeCells count="2">
    <mergeCell ref="F4:J4"/>
    <mergeCell ref="D6:D15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G21"/>
  <sheetViews>
    <sheetView workbookViewId="0"/>
  </sheetViews>
  <sheetFormatPr defaultRowHeight="16.5"/>
  <cols>
    <col min="2" max="2" width="11.875" bestFit="1" customWidth="1"/>
    <col min="3" max="7" width="9.125" bestFit="1" customWidth="1"/>
  </cols>
  <sheetData>
    <row r="2" spans="1:7">
      <c r="A2" s="50" t="s">
        <v>160</v>
      </c>
      <c r="B2" s="5">
        <v>10000000</v>
      </c>
      <c r="C2" s="51"/>
      <c r="D2" s="51"/>
      <c r="E2" s="51"/>
      <c r="F2" s="51"/>
      <c r="G2" s="51"/>
    </row>
    <row r="3" spans="1:7">
      <c r="A3" s="50" t="s">
        <v>161</v>
      </c>
      <c r="B3" s="52">
        <v>7.0000000000000007E-2</v>
      </c>
      <c r="C3" s="51"/>
      <c r="D3" s="51"/>
      <c r="E3" s="51"/>
      <c r="F3" s="51"/>
      <c r="G3" s="51"/>
    </row>
    <row r="4" spans="1:7">
      <c r="A4" s="50" t="s">
        <v>162</v>
      </c>
      <c r="B4" s="53">
        <v>3</v>
      </c>
      <c r="C4" s="51"/>
      <c r="D4" s="51"/>
      <c r="E4" s="51"/>
      <c r="F4" s="51"/>
      <c r="G4" s="51"/>
    </row>
    <row r="5" spans="1:7">
      <c r="A5" s="50"/>
      <c r="B5" s="5"/>
      <c r="C5" s="51"/>
      <c r="D5" s="51"/>
      <c r="E5" s="51"/>
      <c r="F5" s="51"/>
      <c r="G5" s="51"/>
    </row>
    <row r="6" spans="1:7">
      <c r="A6" s="50" t="s">
        <v>163</v>
      </c>
      <c r="B6" s="54">
        <f>PMT(B3/12,B4*12,-B2)</f>
        <v>308770.96865371941</v>
      </c>
      <c r="C6" s="51"/>
      <c r="D6" s="51"/>
      <c r="E6" s="51"/>
      <c r="F6" s="51"/>
      <c r="G6" s="51"/>
    </row>
    <row r="7" spans="1:7">
      <c r="A7" s="51"/>
      <c r="B7" s="51"/>
      <c r="C7" s="51"/>
      <c r="D7" s="51"/>
      <c r="E7" s="51"/>
      <c r="F7" s="51"/>
      <c r="G7" s="51"/>
    </row>
    <row r="8" spans="1:7">
      <c r="A8" s="51"/>
      <c r="B8" s="51"/>
      <c r="C8" s="51"/>
      <c r="D8" s="51"/>
      <c r="E8" s="51"/>
      <c r="F8" s="51"/>
      <c r="G8" s="51"/>
    </row>
    <row r="9" spans="1:7">
      <c r="A9" s="51"/>
      <c r="B9" s="55"/>
      <c r="C9" s="125" t="s">
        <v>164</v>
      </c>
      <c r="D9" s="125"/>
      <c r="E9" s="125"/>
      <c r="F9" s="125"/>
      <c r="G9" s="125"/>
    </row>
    <row r="10" spans="1:7">
      <c r="A10" s="51"/>
      <c r="B10" s="56"/>
      <c r="C10" s="57">
        <v>1</v>
      </c>
      <c r="D10" s="57">
        <v>2</v>
      </c>
      <c r="E10" s="57">
        <v>3</v>
      </c>
      <c r="F10" s="57">
        <v>4</v>
      </c>
      <c r="G10" s="57">
        <v>5</v>
      </c>
    </row>
    <row r="11" spans="1:7">
      <c r="A11" s="126" t="s">
        <v>161</v>
      </c>
      <c r="B11" s="58">
        <v>0.04</v>
      </c>
      <c r="C11" s="5"/>
      <c r="D11" s="5"/>
      <c r="E11" s="5"/>
      <c r="F11" s="5"/>
      <c r="G11" s="5"/>
    </row>
    <row r="12" spans="1:7">
      <c r="A12" s="126"/>
      <c r="B12" s="58">
        <v>4.4999999999999998E-2</v>
      </c>
      <c r="C12" s="5"/>
      <c r="D12" s="5"/>
      <c r="E12" s="5"/>
      <c r="F12" s="5"/>
      <c r="G12" s="5"/>
    </row>
    <row r="13" spans="1:7">
      <c r="A13" s="126"/>
      <c r="B13" s="58">
        <v>0.05</v>
      </c>
      <c r="C13" s="5"/>
      <c r="D13" s="5"/>
      <c r="E13" s="5"/>
      <c r="F13" s="5"/>
      <c r="G13" s="5"/>
    </row>
    <row r="14" spans="1:7">
      <c r="A14" s="126"/>
      <c r="B14" s="58">
        <v>5.5E-2</v>
      </c>
      <c r="C14" s="5"/>
      <c r="D14" s="5"/>
      <c r="E14" s="5"/>
      <c r="F14" s="5"/>
      <c r="G14" s="5"/>
    </row>
    <row r="15" spans="1:7">
      <c r="A15" s="126"/>
      <c r="B15" s="58">
        <v>0.06</v>
      </c>
      <c r="C15" s="5"/>
      <c r="D15" s="5"/>
      <c r="E15" s="5"/>
      <c r="F15" s="5"/>
      <c r="G15" s="5"/>
    </row>
    <row r="16" spans="1:7">
      <c r="A16" s="126"/>
      <c r="B16" s="58">
        <v>6.5000000000000002E-2</v>
      </c>
      <c r="C16" s="5"/>
      <c r="D16" s="5"/>
      <c r="E16" s="5"/>
      <c r="F16" s="5"/>
      <c r="G16" s="5"/>
    </row>
    <row r="17" spans="1:7">
      <c r="A17" s="126"/>
      <c r="B17" s="58">
        <v>7.0000000000000007E-2</v>
      </c>
      <c r="C17" s="5"/>
      <c r="D17" s="5"/>
      <c r="E17" s="5"/>
      <c r="F17" s="5"/>
      <c r="G17" s="5"/>
    </row>
    <row r="18" spans="1:7">
      <c r="A18" s="126"/>
      <c r="B18" s="58">
        <v>7.4999999999999997E-2</v>
      </c>
      <c r="C18" s="5"/>
      <c r="D18" s="5"/>
      <c r="E18" s="5"/>
      <c r="F18" s="5"/>
      <c r="G18" s="5"/>
    </row>
    <row r="19" spans="1:7">
      <c r="A19" s="126"/>
      <c r="B19" s="58">
        <v>0.08</v>
      </c>
      <c r="C19" s="5"/>
      <c r="D19" s="5"/>
      <c r="E19" s="5"/>
      <c r="F19" s="5"/>
      <c r="G19" s="5"/>
    </row>
    <row r="20" spans="1:7">
      <c r="A20" s="126"/>
      <c r="B20" s="58">
        <v>8.5000000000000006E-2</v>
      </c>
      <c r="C20" s="5"/>
      <c r="D20" s="5"/>
      <c r="E20" s="5"/>
      <c r="F20" s="5"/>
      <c r="G20" s="5"/>
    </row>
    <row r="21" spans="1:7">
      <c r="A21" s="126"/>
      <c r="B21" s="58">
        <v>0.09</v>
      </c>
      <c r="C21" s="5"/>
      <c r="D21" s="5"/>
      <c r="E21" s="5"/>
      <c r="F21" s="5"/>
      <c r="G21" s="5"/>
    </row>
  </sheetData>
  <mergeCells count="2">
    <mergeCell ref="C9:G9"/>
    <mergeCell ref="A11:A21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G21"/>
  <sheetViews>
    <sheetView workbookViewId="0"/>
  </sheetViews>
  <sheetFormatPr defaultRowHeight="16.5"/>
  <cols>
    <col min="2" max="2" width="11.875" bestFit="1" customWidth="1"/>
    <col min="3" max="7" width="9.125" bestFit="1" customWidth="1"/>
  </cols>
  <sheetData>
    <row r="2" spans="1:7">
      <c r="A2" s="50" t="s">
        <v>160</v>
      </c>
      <c r="B2" s="5">
        <v>10000000</v>
      </c>
      <c r="C2" s="51"/>
      <c r="D2" s="51"/>
      <c r="E2" s="51"/>
      <c r="F2" s="51"/>
      <c r="G2" s="51"/>
    </row>
    <row r="3" spans="1:7">
      <c r="A3" s="50" t="s">
        <v>161</v>
      </c>
      <c r="B3" s="52">
        <v>7.0000000000000007E-2</v>
      </c>
      <c r="C3" s="51"/>
      <c r="D3" s="51"/>
      <c r="E3" s="51"/>
      <c r="F3" s="51"/>
      <c r="G3" s="51"/>
    </row>
    <row r="4" spans="1:7">
      <c r="A4" s="50" t="s">
        <v>162</v>
      </c>
      <c r="B4" s="53">
        <v>3</v>
      </c>
      <c r="C4" s="51"/>
      <c r="D4" s="51"/>
      <c r="E4" s="51"/>
      <c r="F4" s="51"/>
      <c r="G4" s="51"/>
    </row>
    <row r="5" spans="1:7">
      <c r="A5" s="50"/>
      <c r="B5" s="5"/>
      <c r="C5" s="51"/>
      <c r="D5" s="51"/>
      <c r="E5" s="51"/>
      <c r="F5" s="51"/>
      <c r="G5" s="51"/>
    </row>
    <row r="6" spans="1:7">
      <c r="A6" s="50" t="s">
        <v>163</v>
      </c>
      <c r="B6" s="54">
        <f>PMT(B3/12,B4*12,-B2)</f>
        <v>308770.96865371941</v>
      </c>
      <c r="C6" s="51"/>
      <c r="D6" s="51"/>
      <c r="E6" s="51"/>
      <c r="F6" s="51"/>
      <c r="G6" s="51"/>
    </row>
    <row r="7" spans="1:7">
      <c r="A7" s="51"/>
      <c r="B7" s="51"/>
      <c r="C7" s="51"/>
      <c r="D7" s="51"/>
      <c r="E7" s="51"/>
      <c r="F7" s="51"/>
      <c r="G7" s="51"/>
    </row>
    <row r="8" spans="1:7">
      <c r="A8" s="51"/>
      <c r="B8" s="51"/>
      <c r="C8" s="51"/>
      <c r="D8" s="51"/>
      <c r="E8" s="51"/>
      <c r="F8" s="51"/>
      <c r="G8" s="51"/>
    </row>
    <row r="9" spans="1:7">
      <c r="A9" s="51"/>
      <c r="B9" s="55"/>
      <c r="C9" s="125" t="s">
        <v>164</v>
      </c>
      <c r="D9" s="125"/>
      <c r="E9" s="125"/>
      <c r="F9" s="125"/>
      <c r="G9" s="125"/>
    </row>
    <row r="10" spans="1:7">
      <c r="A10" s="51"/>
      <c r="B10" s="56">
        <f>B6</f>
        <v>308770.96865371941</v>
      </c>
      <c r="C10" s="57">
        <v>1</v>
      </c>
      <c r="D10" s="57">
        <v>2</v>
      </c>
      <c r="E10" s="57">
        <v>3</v>
      </c>
      <c r="F10" s="57">
        <v>4</v>
      </c>
      <c r="G10" s="57">
        <v>5</v>
      </c>
    </row>
    <row r="11" spans="1:7">
      <c r="A11" s="126" t="s">
        <v>161</v>
      </c>
      <c r="B11" s="58">
        <v>0.04</v>
      </c>
      <c r="C11" s="5">
        <f t="dataTable" ref="C11:G21" dt2D="1" dtr="1" r1="B4" r2="B3"/>
        <v>851499.04195557919</v>
      </c>
      <c r="D11" s="5">
        <v>434249.22170774051</v>
      </c>
      <c r="E11" s="5">
        <v>295239.85006843682</v>
      </c>
      <c r="F11" s="5">
        <v>225790.54641689977</v>
      </c>
      <c r="G11" s="5">
        <v>184165.22055266352</v>
      </c>
    </row>
    <row r="12" spans="1:7">
      <c r="A12" s="126"/>
      <c r="B12" s="58">
        <v>4.4999999999999998E-2</v>
      </c>
      <c r="C12" s="5">
        <v>853785.21586372063</v>
      </c>
      <c r="D12" s="5">
        <v>436478.1155208344</v>
      </c>
      <c r="E12" s="5">
        <v>297469.2447837558</v>
      </c>
      <c r="F12" s="5">
        <v>228034.86077431258</v>
      </c>
      <c r="G12" s="5">
        <v>186430.1924151665</v>
      </c>
    </row>
    <row r="13" spans="1:7">
      <c r="A13" s="126"/>
      <c r="B13" s="58">
        <v>0.05</v>
      </c>
      <c r="C13" s="5">
        <v>856074.81788467127</v>
      </c>
      <c r="D13" s="5">
        <v>438713.89734068443</v>
      </c>
      <c r="E13" s="5">
        <v>299708.97104665474</v>
      </c>
      <c r="F13" s="5">
        <v>230292.93570646518</v>
      </c>
      <c r="G13" s="5">
        <v>188712.33644010933</v>
      </c>
    </row>
    <row r="14" spans="1:7">
      <c r="A14" s="126"/>
      <c r="B14" s="58">
        <v>5.5E-2</v>
      </c>
      <c r="C14" s="5">
        <v>858367.84572349582</v>
      </c>
      <c r="D14" s="5">
        <v>440956.56158136606</v>
      </c>
      <c r="E14" s="5">
        <v>301959.01804310281</v>
      </c>
      <c r="F14" s="5">
        <v>232564.75227243194</v>
      </c>
      <c r="G14" s="5">
        <v>191011.62171782242</v>
      </c>
    </row>
    <row r="15" spans="1:7">
      <c r="A15" s="126"/>
      <c r="B15" s="58">
        <v>0.06</v>
      </c>
      <c r="C15" s="5">
        <v>860664.29707080638</v>
      </c>
      <c r="D15" s="5">
        <v>443206.10252756893</v>
      </c>
      <c r="E15" s="5">
        <v>304219.37451555108</v>
      </c>
      <c r="F15" s="5">
        <v>234850.29047935616</v>
      </c>
      <c r="G15" s="5">
        <v>193328.01529427912</v>
      </c>
    </row>
    <row r="16" spans="1:7">
      <c r="A16" s="126"/>
      <c r="B16" s="58">
        <v>6.5000000000000002E-2</v>
      </c>
      <c r="C16" s="5">
        <v>862964.16960281401</v>
      </c>
      <c r="D16" s="5">
        <v>445462.51433510991</v>
      </c>
      <c r="E16" s="5">
        <v>306490.02876509784</v>
      </c>
      <c r="F16" s="5">
        <v>237149.52928897695</v>
      </c>
      <c r="G16" s="5">
        <v>195661.48218728541</v>
      </c>
    </row>
    <row r="17" spans="1:7">
      <c r="A17" s="126"/>
      <c r="B17" s="58">
        <v>7.0000000000000007E-2</v>
      </c>
      <c r="C17" s="5">
        <v>865267.46098138066</v>
      </c>
      <c r="D17" s="5">
        <v>447725.79103145417</v>
      </c>
      <c r="E17" s="5">
        <v>308770.96865371941</v>
      </c>
      <c r="F17" s="5">
        <v>239462.44662442908</v>
      </c>
      <c r="G17" s="5">
        <v>198011.98540349538</v>
      </c>
    </row>
    <row r="18" spans="1:7">
      <c r="A18" s="126"/>
      <c r="B18" s="58">
        <v>7.4999999999999997E-2</v>
      </c>
      <c r="C18" s="5">
        <v>867574.16885407211</v>
      </c>
      <c r="D18" s="5">
        <v>449995.92651624535</v>
      </c>
      <c r="E18" s="5">
        <v>311062.18160656438</v>
      </c>
      <c r="F18" s="5">
        <v>241789.01937731233</v>
      </c>
      <c r="G18" s="5">
        <v>200379.48595623762</v>
      </c>
    </row>
    <row r="19" spans="1:7">
      <c r="A19" s="126"/>
      <c r="B19" s="58">
        <v>0.08</v>
      </c>
      <c r="C19" s="5">
        <v>869884.29085421062</v>
      </c>
      <c r="D19" s="5">
        <v>452272.91456184152</v>
      </c>
      <c r="E19" s="5">
        <v>313363.6546143085</v>
      </c>
      <c r="F19" s="5">
        <v>244129.22341502484</v>
      </c>
      <c r="G19" s="5">
        <v>202763.94288413681</v>
      </c>
    </row>
    <row r="20" spans="1:7">
      <c r="A20" s="126"/>
      <c r="B20" s="58">
        <v>8.5000000000000006E-2</v>
      </c>
      <c r="C20" s="5">
        <v>872197.8246009273</v>
      </c>
      <c r="D20" s="5">
        <v>454556.74881386041</v>
      </c>
      <c r="E20" s="5">
        <v>315675.37423557398</v>
      </c>
      <c r="F20" s="5">
        <v>246483.0335883571</v>
      </c>
      <c r="G20" s="5">
        <v>205165.3132705125</v>
      </c>
    </row>
    <row r="21" spans="1:7">
      <c r="A21" s="126"/>
      <c r="B21" s="58">
        <v>0.09</v>
      </c>
      <c r="C21" s="5">
        <v>874514.76769921428</v>
      </c>
      <c r="D21" s="5">
        <v>456847.4227917309</v>
      </c>
      <c r="E21" s="5">
        <v>317997.32659940684</v>
      </c>
      <c r="F21" s="5">
        <v>248850.42373934211</v>
      </c>
      <c r="G21" s="5">
        <v>207583.55226354007</v>
      </c>
    </row>
  </sheetData>
  <mergeCells count="2">
    <mergeCell ref="C9:G9"/>
    <mergeCell ref="A11:A21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4:F5"/>
  <sheetViews>
    <sheetView workbookViewId="0"/>
  </sheetViews>
  <sheetFormatPr defaultRowHeight="16.5"/>
  <sheetData>
    <row r="4" spans="2:6">
      <c r="B4" s="59" t="s">
        <v>47</v>
      </c>
      <c r="C4" s="59" t="s">
        <v>123</v>
      </c>
      <c r="D4" s="59" t="s">
        <v>124</v>
      </c>
      <c r="E4" s="59" t="s">
        <v>125</v>
      </c>
      <c r="F4" s="60" t="s">
        <v>51</v>
      </c>
    </row>
    <row r="5" spans="2:6">
      <c r="B5" s="59" t="s">
        <v>129</v>
      </c>
      <c r="C5" s="59" t="s">
        <v>130</v>
      </c>
      <c r="D5" s="61">
        <v>85</v>
      </c>
      <c r="E5" s="62">
        <v>92</v>
      </c>
      <c r="F5" s="63">
        <f>AVERAGE(D5:E5)</f>
        <v>88.5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4:F5"/>
  <sheetViews>
    <sheetView workbookViewId="0"/>
  </sheetViews>
  <sheetFormatPr defaultRowHeight="16.5"/>
  <sheetData>
    <row r="4" spans="2:6">
      <c r="B4" s="59" t="s">
        <v>47</v>
      </c>
      <c r="C4" s="59" t="s">
        <v>123</v>
      </c>
      <c r="D4" s="59" t="s">
        <v>124</v>
      </c>
      <c r="E4" s="59" t="s">
        <v>125</v>
      </c>
      <c r="F4" s="60" t="s">
        <v>51</v>
      </c>
    </row>
    <row r="5" spans="2:6">
      <c r="B5" s="59" t="s">
        <v>129</v>
      </c>
      <c r="C5" s="59" t="s">
        <v>130</v>
      </c>
      <c r="D5" s="61">
        <v>98</v>
      </c>
      <c r="E5" s="62">
        <v>92</v>
      </c>
      <c r="F5" s="63">
        <f>AVERAGE(D5:E5)</f>
        <v>95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C8"/>
  <sheetViews>
    <sheetView workbookViewId="0"/>
  </sheetViews>
  <sheetFormatPr defaultRowHeight="16.5"/>
  <cols>
    <col min="1" max="1" width="2.625" customWidth="1"/>
    <col min="2" max="2" width="15.25" customWidth="1"/>
    <col min="3" max="3" width="13.25" customWidth="1"/>
  </cols>
  <sheetData>
    <row r="1" spans="2:3" ht="17.25" thickBot="1"/>
    <row r="2" spans="2:3" ht="17.25" thickBot="1">
      <c r="B2" s="127" t="s">
        <v>165</v>
      </c>
      <c r="C2" s="128"/>
    </row>
    <row r="3" spans="2:3">
      <c r="B3" s="64" t="s">
        <v>166</v>
      </c>
      <c r="C3" s="65">
        <v>25000000</v>
      </c>
    </row>
    <row r="4" spans="2:3">
      <c r="B4" s="66" t="s">
        <v>167</v>
      </c>
      <c r="C4" s="67">
        <v>8000000</v>
      </c>
    </row>
    <row r="5" spans="2:3">
      <c r="B5" s="66" t="s">
        <v>168</v>
      </c>
      <c r="C5" s="67">
        <v>17000000</v>
      </c>
    </row>
    <row r="6" spans="2:3">
      <c r="B6" s="68" t="s">
        <v>169</v>
      </c>
      <c r="C6" s="69">
        <v>0.105</v>
      </c>
    </row>
    <row r="7" spans="2:3">
      <c r="B7" s="68" t="s">
        <v>170</v>
      </c>
      <c r="C7" s="70">
        <v>60</v>
      </c>
    </row>
    <row r="8" spans="2:3" ht="17.25" thickBot="1">
      <c r="B8" s="71" t="s">
        <v>171</v>
      </c>
      <c r="C8" s="72">
        <f>(C5+C5*C6*C7/12)/C7</f>
        <v>432083.33333333331</v>
      </c>
    </row>
  </sheetData>
  <mergeCells count="1">
    <mergeCell ref="B2:C2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1:C8"/>
  <sheetViews>
    <sheetView workbookViewId="0"/>
  </sheetViews>
  <sheetFormatPr defaultRowHeight="16.5"/>
  <cols>
    <col min="1" max="1" width="2.625" customWidth="1"/>
    <col min="2" max="2" width="15.25" customWidth="1"/>
    <col min="3" max="3" width="13.25" customWidth="1"/>
  </cols>
  <sheetData>
    <row r="1" spans="2:3" ht="17.25" thickBot="1"/>
    <row r="2" spans="2:3" ht="17.25" thickBot="1">
      <c r="B2" s="127" t="s">
        <v>165</v>
      </c>
      <c r="C2" s="128"/>
    </row>
    <row r="3" spans="2:3">
      <c r="B3" s="64" t="s">
        <v>166</v>
      </c>
      <c r="C3" s="65">
        <v>25000000</v>
      </c>
    </row>
    <row r="4" spans="2:3">
      <c r="B4" s="66" t="s">
        <v>167</v>
      </c>
      <c r="C4" s="67">
        <v>8000000</v>
      </c>
    </row>
    <row r="5" spans="2:3">
      <c r="B5" s="66" t="s">
        <v>168</v>
      </c>
      <c r="C5" s="67">
        <v>17000000</v>
      </c>
    </row>
    <row r="6" spans="2:3">
      <c r="B6" s="68" t="s">
        <v>169</v>
      </c>
      <c r="C6" s="69">
        <v>0.105</v>
      </c>
    </row>
    <row r="7" spans="2:3">
      <c r="B7" s="68" t="s">
        <v>170</v>
      </c>
      <c r="C7" s="70">
        <v>67.661691542215394</v>
      </c>
    </row>
    <row r="8" spans="2:3" ht="17.25" thickBot="1">
      <c r="B8" s="71" t="s">
        <v>171</v>
      </c>
      <c r="C8" s="72">
        <f>(C5+C5*C6*C7/12)/C7</f>
        <v>400000.00000027171</v>
      </c>
    </row>
  </sheetData>
  <mergeCells count="1">
    <mergeCell ref="B2:C2"/>
  </mergeCells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11"/>
  <sheetViews>
    <sheetView workbookViewId="0"/>
  </sheetViews>
  <sheetFormatPr defaultRowHeight="16.5"/>
  <cols>
    <col min="1" max="1" width="14.875" customWidth="1"/>
    <col min="2" max="2" width="9.25" bestFit="1" customWidth="1"/>
  </cols>
  <sheetData>
    <row r="1" spans="1:2">
      <c r="A1" t="s">
        <v>172</v>
      </c>
    </row>
    <row r="2" spans="1:2">
      <c r="A2" s="21" t="s">
        <v>173</v>
      </c>
      <c r="B2" s="21" t="s">
        <v>174</v>
      </c>
    </row>
    <row r="3" spans="1:2">
      <c r="A3" s="73" t="s">
        <v>175</v>
      </c>
      <c r="B3" s="73">
        <v>3000</v>
      </c>
    </row>
    <row r="4" spans="1:2">
      <c r="A4" s="73" t="s">
        <v>176</v>
      </c>
      <c r="B4" s="73">
        <v>2000</v>
      </c>
    </row>
    <row r="5" spans="1:2">
      <c r="A5" s="73" t="s">
        <v>177</v>
      </c>
      <c r="B5" s="74">
        <v>3000</v>
      </c>
    </row>
    <row r="6" spans="1:2">
      <c r="A6" s="73" t="s">
        <v>178</v>
      </c>
      <c r="B6" s="73">
        <v>300</v>
      </c>
    </row>
    <row r="8" spans="1:2">
      <c r="A8" s="73" t="s">
        <v>179</v>
      </c>
      <c r="B8" s="74">
        <f>생산량*판매단가</f>
        <v>9000000</v>
      </c>
    </row>
    <row r="9" spans="1:2">
      <c r="A9" s="73" t="s">
        <v>180</v>
      </c>
      <c r="B9" s="74">
        <f>생산량-판매량</f>
        <v>1000</v>
      </c>
    </row>
    <row r="10" spans="1:2">
      <c r="A10" s="73" t="s">
        <v>181</v>
      </c>
      <c r="B10" s="74">
        <f>재고량*재고단가</f>
        <v>300000</v>
      </c>
    </row>
    <row r="11" spans="1:2">
      <c r="A11" s="73" t="s">
        <v>182</v>
      </c>
      <c r="B11" s="75">
        <f>재고비용/판매액</f>
        <v>3.3333333333333333E-2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outlinePr summaryBelow="0"/>
  </sheetPr>
  <dimension ref="B1:G12"/>
  <sheetViews>
    <sheetView showGridLines="0" workbookViewId="0"/>
  </sheetViews>
  <sheetFormatPr defaultRowHeight="16.5" outlineLevelRow="1" outlineLevelCol="1"/>
  <cols>
    <col min="3" max="3" width="11" bestFit="1" customWidth="1"/>
    <col min="4" max="7" width="15" bestFit="1" customWidth="1" outlineLevel="1"/>
  </cols>
  <sheetData>
    <row r="1" spans="2:7" ht="17.25" thickBot="1"/>
    <row r="2" spans="2:7">
      <c r="B2" s="101" t="s">
        <v>296</v>
      </c>
      <c r="C2" s="102"/>
      <c r="D2" s="108"/>
      <c r="E2" s="108"/>
      <c r="F2" s="108"/>
      <c r="G2" s="108"/>
    </row>
    <row r="3" spans="2:7" collapsed="1">
      <c r="B3" s="100"/>
      <c r="C3" s="100"/>
      <c r="D3" s="109" t="s">
        <v>298</v>
      </c>
      <c r="E3" s="109" t="s">
        <v>293</v>
      </c>
      <c r="F3" s="109" t="s">
        <v>294</v>
      </c>
      <c r="G3" s="109" t="s">
        <v>295</v>
      </c>
    </row>
    <row r="4" spans="2:7" hidden="1" outlineLevel="1">
      <c r="B4" s="104"/>
      <c r="C4" s="104"/>
      <c r="D4" s="97"/>
      <c r="E4" s="111"/>
      <c r="F4" s="111"/>
      <c r="G4" s="111"/>
    </row>
    <row r="5" spans="2:7">
      <c r="B5" s="105" t="s">
        <v>297</v>
      </c>
      <c r="C5" s="106"/>
      <c r="D5" s="103"/>
      <c r="E5" s="103"/>
      <c r="F5" s="103"/>
      <c r="G5" s="103"/>
    </row>
    <row r="6" spans="2:7" outlineLevel="1">
      <c r="B6" s="104"/>
      <c r="C6" s="104" t="s">
        <v>175</v>
      </c>
      <c r="D6" s="97">
        <v>3000</v>
      </c>
      <c r="E6" s="110">
        <v>4000</v>
      </c>
      <c r="F6" s="110">
        <v>5000</v>
      </c>
      <c r="G6" s="110">
        <v>6000</v>
      </c>
    </row>
    <row r="7" spans="2:7" outlineLevel="1">
      <c r="B7" s="104"/>
      <c r="C7" s="104" t="s">
        <v>176</v>
      </c>
      <c r="D7" s="97">
        <v>2000</v>
      </c>
      <c r="E7" s="110">
        <v>3000</v>
      </c>
      <c r="F7" s="110">
        <v>4000</v>
      </c>
      <c r="G7" s="110">
        <v>5000</v>
      </c>
    </row>
    <row r="8" spans="2:7">
      <c r="B8" s="105" t="s">
        <v>299</v>
      </c>
      <c r="C8" s="106"/>
      <c r="D8" s="103"/>
      <c r="E8" s="103"/>
      <c r="F8" s="103"/>
      <c r="G8" s="103"/>
    </row>
    <row r="9" spans="2:7" ht="17.25" outlineLevel="1" thickBot="1">
      <c r="B9" s="107"/>
      <c r="C9" s="107" t="s">
        <v>182</v>
      </c>
      <c r="D9" s="99">
        <v>3.3333333333333298E-2</v>
      </c>
      <c r="E9" s="99">
        <v>2.5000000000000001E-2</v>
      </c>
      <c r="F9" s="99">
        <v>0.02</v>
      </c>
      <c r="G9" s="99">
        <v>1.6666666666666701E-2</v>
      </c>
    </row>
    <row r="10" spans="2:7">
      <c r="B10" t="s">
        <v>300</v>
      </c>
    </row>
    <row r="11" spans="2:7">
      <c r="B11" t="s">
        <v>301</v>
      </c>
    </row>
    <row r="12" spans="2:7">
      <c r="B12" t="s">
        <v>302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5"/>
  <sheetViews>
    <sheetView workbookViewId="0"/>
  </sheetViews>
  <sheetFormatPr defaultRowHeight="16.5"/>
  <cols>
    <col min="2" max="2" width="12.125" customWidth="1"/>
  </cols>
  <sheetData>
    <row r="2" spans="2:7">
      <c r="B2" s="76" t="s">
        <v>183</v>
      </c>
      <c r="C2" s="77"/>
      <c r="D2" s="77"/>
      <c r="E2" s="77"/>
      <c r="F2" s="77"/>
      <c r="G2" s="77"/>
    </row>
    <row r="3" spans="2:7">
      <c r="B3" s="77"/>
      <c r="C3" s="77"/>
      <c r="D3" s="77"/>
      <c r="E3" s="77"/>
      <c r="F3" s="78" t="s">
        <v>184</v>
      </c>
      <c r="G3" s="78">
        <v>3200</v>
      </c>
    </row>
    <row r="4" spans="2:7">
      <c r="B4" s="78" t="s">
        <v>185</v>
      </c>
      <c r="C4" s="78">
        <v>3000</v>
      </c>
      <c r="D4" s="77"/>
      <c r="E4" s="77"/>
      <c r="F4" s="78" t="s">
        <v>186</v>
      </c>
      <c r="G4" s="78">
        <v>4600</v>
      </c>
    </row>
    <row r="5" spans="2:7">
      <c r="B5" s="78" t="s">
        <v>157</v>
      </c>
      <c r="C5" s="78">
        <f>G4*C4</f>
        <v>13800000</v>
      </c>
      <c r="D5" s="77"/>
      <c r="E5" s="77"/>
      <c r="F5" s="77"/>
      <c r="G5" s="77"/>
    </row>
    <row r="6" spans="2:7">
      <c r="B6" s="78" t="s">
        <v>158</v>
      </c>
      <c r="C6" s="78">
        <f>G3*C4</f>
        <v>9600000</v>
      </c>
      <c r="D6" s="77"/>
      <c r="E6" s="77"/>
      <c r="F6" s="77"/>
      <c r="G6" s="77"/>
    </row>
    <row r="7" spans="2:7">
      <c r="B7" s="78" t="s">
        <v>187</v>
      </c>
      <c r="C7" s="78">
        <f>C5-C6</f>
        <v>4200000</v>
      </c>
      <c r="D7" s="77"/>
      <c r="E7" s="77"/>
      <c r="F7" s="77"/>
      <c r="G7" s="77"/>
    </row>
    <row r="8" spans="2:7">
      <c r="B8" s="77"/>
      <c r="C8" s="77"/>
      <c r="D8" s="77"/>
      <c r="E8" s="77"/>
      <c r="F8" s="77"/>
      <c r="G8" s="77"/>
    </row>
    <row r="9" spans="2:7">
      <c r="B9" s="78" t="s">
        <v>188</v>
      </c>
      <c r="C9" s="78">
        <f>C10+C11+C12+C13</f>
        <v>1242000</v>
      </c>
      <c r="D9" s="77"/>
      <c r="E9" s="77"/>
      <c r="F9" s="77"/>
      <c r="G9" s="77"/>
    </row>
    <row r="10" spans="2:7">
      <c r="B10" s="78" t="s">
        <v>189</v>
      </c>
      <c r="C10" s="78">
        <f>C5*3%</f>
        <v>414000</v>
      </c>
      <c r="D10" s="77"/>
      <c r="E10" s="77"/>
      <c r="F10" s="77"/>
      <c r="G10" s="77"/>
    </row>
    <row r="11" spans="2:7">
      <c r="B11" s="78" t="s">
        <v>190</v>
      </c>
      <c r="C11" s="78">
        <f>C5*2.5%</f>
        <v>345000</v>
      </c>
      <c r="D11" s="77"/>
      <c r="E11" s="77"/>
      <c r="F11" s="77"/>
      <c r="G11" s="77"/>
    </row>
    <row r="12" spans="2:7">
      <c r="B12" s="78" t="s">
        <v>191</v>
      </c>
      <c r="C12" s="78">
        <f>C5*2%</f>
        <v>276000</v>
      </c>
      <c r="D12" s="77"/>
      <c r="E12" s="77"/>
      <c r="F12" s="77"/>
      <c r="G12" s="77"/>
    </row>
    <row r="13" spans="2:7">
      <c r="B13" s="78" t="s">
        <v>192</v>
      </c>
      <c r="C13" s="78">
        <f>C5*1.5%</f>
        <v>207000</v>
      </c>
      <c r="D13" s="77"/>
      <c r="E13" s="77"/>
      <c r="F13" s="77"/>
      <c r="G13" s="77"/>
    </row>
    <row r="14" spans="2:7">
      <c r="B14" s="77"/>
      <c r="C14" s="77"/>
      <c r="D14" s="77"/>
      <c r="E14" s="77"/>
      <c r="F14" s="77"/>
      <c r="G14" s="77"/>
    </row>
    <row r="15" spans="2:7">
      <c r="B15" s="78" t="s">
        <v>159</v>
      </c>
      <c r="C15" s="78">
        <f>C7-C9</f>
        <v>2958000</v>
      </c>
      <c r="D15" s="77"/>
      <c r="E15" s="77"/>
      <c r="F15" s="77"/>
      <c r="G15" s="77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outlinePr summaryBelow="0"/>
  </sheetPr>
  <dimension ref="B1:F11"/>
  <sheetViews>
    <sheetView showGridLines="0" workbookViewId="0"/>
  </sheetViews>
  <sheetFormatPr defaultRowHeight="16.5" outlineLevelRow="1" outlineLevelCol="1"/>
  <cols>
    <col min="4" max="6" width="13.75" bestFit="1" customWidth="1" outlineLevel="1"/>
  </cols>
  <sheetData>
    <row r="1" spans="2:6" ht="17.25" thickBot="1"/>
    <row r="2" spans="2:6">
      <c r="B2" s="101" t="s">
        <v>296</v>
      </c>
      <c r="C2" s="102"/>
      <c r="D2" s="108"/>
      <c r="E2" s="108"/>
      <c r="F2" s="108"/>
    </row>
    <row r="3" spans="2:6" collapsed="1">
      <c r="B3" s="100"/>
      <c r="C3" s="100"/>
      <c r="D3" s="109" t="s">
        <v>298</v>
      </c>
      <c r="E3" s="109" t="s">
        <v>305</v>
      </c>
      <c r="F3" s="109" t="s">
        <v>306</v>
      </c>
    </row>
    <row r="4" spans="2:6" hidden="1" outlineLevel="1">
      <c r="B4" s="104"/>
      <c r="C4" s="104"/>
      <c r="D4" s="97"/>
      <c r="E4" s="111"/>
      <c r="F4" s="111"/>
    </row>
    <row r="5" spans="2:6">
      <c r="B5" s="105" t="s">
        <v>297</v>
      </c>
      <c r="C5" s="106"/>
      <c r="D5" s="103"/>
      <c r="E5" s="103"/>
      <c r="F5" s="103"/>
    </row>
    <row r="6" spans="2:6" outlineLevel="1">
      <c r="B6" s="104"/>
      <c r="C6" s="104" t="s">
        <v>303</v>
      </c>
      <c r="D6" s="97">
        <v>3000</v>
      </c>
      <c r="E6" s="110">
        <v>4000</v>
      </c>
      <c r="F6" s="110">
        <v>2000</v>
      </c>
    </row>
    <row r="7" spans="2:6">
      <c r="B7" s="105" t="s">
        <v>299</v>
      </c>
      <c r="C7" s="106"/>
      <c r="D7" s="103"/>
      <c r="E7" s="103"/>
      <c r="F7" s="103"/>
    </row>
    <row r="8" spans="2:6" ht="17.25" outlineLevel="1" thickBot="1">
      <c r="B8" s="107"/>
      <c r="C8" s="107" t="s">
        <v>304</v>
      </c>
      <c r="D8" s="98">
        <v>2958000</v>
      </c>
      <c r="E8" s="98">
        <v>3944000</v>
      </c>
      <c r="F8" s="98">
        <v>1972000</v>
      </c>
    </row>
    <row r="9" spans="2:6">
      <c r="B9" t="s">
        <v>300</v>
      </c>
    </row>
    <row r="10" spans="2:6">
      <c r="B10" t="s">
        <v>301</v>
      </c>
    </row>
    <row r="11" spans="2:6">
      <c r="B11" t="s">
        <v>302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I35"/>
  <sheetViews>
    <sheetView workbookViewId="0"/>
  </sheetViews>
  <sheetFormatPr defaultRowHeight="16.5"/>
  <cols>
    <col min="2" max="2" width="21.375" bestFit="1" customWidth="1"/>
    <col min="3" max="3" width="11.125" bestFit="1" customWidth="1"/>
    <col min="5" max="5" width="11" bestFit="1" customWidth="1"/>
  </cols>
  <sheetData>
    <row r="5" spans="1:9">
      <c r="A5" s="79" t="s">
        <v>193</v>
      </c>
      <c r="B5" s="79" t="s">
        <v>194</v>
      </c>
      <c r="C5" s="79" t="s">
        <v>195</v>
      </c>
      <c r="D5" s="79" t="s">
        <v>196</v>
      </c>
      <c r="E5" s="79" t="s">
        <v>197</v>
      </c>
      <c r="F5" s="79" t="s">
        <v>198</v>
      </c>
      <c r="G5" s="79" t="s">
        <v>199</v>
      </c>
      <c r="H5" s="79" t="s">
        <v>200</v>
      </c>
      <c r="I5" s="79" t="s">
        <v>201</v>
      </c>
    </row>
    <row r="6" spans="1:9">
      <c r="A6" s="80" t="s">
        <v>202</v>
      </c>
      <c r="B6" s="80" t="s">
        <v>203</v>
      </c>
      <c r="C6" s="81">
        <v>41785</v>
      </c>
      <c r="D6" s="80">
        <v>25000</v>
      </c>
      <c r="E6" s="80" t="s">
        <v>204</v>
      </c>
      <c r="F6" s="80">
        <v>105</v>
      </c>
      <c r="G6" s="80">
        <v>1955</v>
      </c>
      <c r="H6" s="80">
        <v>2000</v>
      </c>
      <c r="I6" s="80">
        <v>1</v>
      </c>
    </row>
    <row r="7" spans="1:9">
      <c r="A7" s="80" t="s">
        <v>205</v>
      </c>
      <c r="B7" s="80" t="s">
        <v>206</v>
      </c>
      <c r="C7" s="81">
        <v>41788</v>
      </c>
      <c r="D7" s="80">
        <v>25300</v>
      </c>
      <c r="E7" s="80" t="s">
        <v>207</v>
      </c>
      <c r="F7" s="80">
        <v>125</v>
      </c>
      <c r="G7" s="80">
        <v>2001</v>
      </c>
      <c r="H7" s="80">
        <v>1000</v>
      </c>
      <c r="I7" s="80">
        <v>2</v>
      </c>
    </row>
    <row r="8" spans="1:9">
      <c r="A8" s="80" t="s">
        <v>208</v>
      </c>
      <c r="B8" s="80" t="s">
        <v>209</v>
      </c>
      <c r="C8" s="81">
        <v>41791</v>
      </c>
      <c r="D8" s="80">
        <v>29500</v>
      </c>
      <c r="E8" s="80" t="s">
        <v>207</v>
      </c>
      <c r="F8" s="80">
        <v>175</v>
      </c>
      <c r="G8" s="80">
        <v>1963</v>
      </c>
      <c r="H8" s="80">
        <v>1000</v>
      </c>
      <c r="I8" s="80">
        <v>1</v>
      </c>
    </row>
    <row r="9" spans="1:9">
      <c r="A9" s="80" t="s">
        <v>210</v>
      </c>
      <c r="B9" s="80" t="s">
        <v>211</v>
      </c>
      <c r="C9" s="81">
        <v>41794</v>
      </c>
      <c r="D9" s="80">
        <v>23000</v>
      </c>
      <c r="E9" s="80" t="s">
        <v>212</v>
      </c>
      <c r="F9" s="80">
        <v>128</v>
      </c>
      <c r="G9" s="80">
        <v>1973</v>
      </c>
      <c r="H9" s="80">
        <v>1000</v>
      </c>
      <c r="I9" s="80">
        <v>2</v>
      </c>
    </row>
    <row r="10" spans="1:9">
      <c r="A10" s="80" t="s">
        <v>213</v>
      </c>
      <c r="B10" s="80" t="s">
        <v>214</v>
      </c>
      <c r="C10" s="81">
        <v>41797</v>
      </c>
      <c r="D10" s="80">
        <v>25000</v>
      </c>
      <c r="E10" s="80" t="s">
        <v>207</v>
      </c>
      <c r="F10" s="80">
        <v>121</v>
      </c>
      <c r="G10" s="80">
        <v>2002</v>
      </c>
      <c r="H10" s="80">
        <v>1500</v>
      </c>
      <c r="I10" s="80">
        <v>1</v>
      </c>
    </row>
    <row r="11" spans="1:9">
      <c r="A11" s="80" t="s">
        <v>215</v>
      </c>
      <c r="B11" s="80" t="s">
        <v>216</v>
      </c>
      <c r="C11" s="81">
        <v>41800</v>
      </c>
      <c r="D11" s="80">
        <v>25000</v>
      </c>
      <c r="E11" s="80" t="s">
        <v>204</v>
      </c>
      <c r="F11" s="80">
        <v>111</v>
      </c>
      <c r="G11" s="80">
        <v>1995</v>
      </c>
      <c r="H11" s="80">
        <v>500</v>
      </c>
      <c r="I11" s="80">
        <v>2</v>
      </c>
    </row>
    <row r="12" spans="1:9">
      <c r="A12" s="80" t="s">
        <v>217</v>
      </c>
      <c r="B12" s="80" t="s">
        <v>218</v>
      </c>
      <c r="C12" s="81">
        <v>41825</v>
      </c>
      <c r="D12" s="80">
        <v>25300</v>
      </c>
      <c r="E12" s="80" t="s">
        <v>204</v>
      </c>
      <c r="F12" s="80">
        <v>110</v>
      </c>
      <c r="G12" s="80">
        <v>2002</v>
      </c>
      <c r="H12" s="80">
        <v>1500</v>
      </c>
      <c r="I12" s="80">
        <v>1</v>
      </c>
    </row>
    <row r="13" spans="1:9">
      <c r="A13" s="80" t="s">
        <v>219</v>
      </c>
      <c r="B13" s="80" t="s">
        <v>220</v>
      </c>
      <c r="C13" s="81">
        <v>41850</v>
      </c>
      <c r="D13" s="80">
        <v>16500</v>
      </c>
      <c r="E13" s="80" t="s">
        <v>221</v>
      </c>
      <c r="F13" s="80">
        <v>118</v>
      </c>
      <c r="G13" s="80">
        <v>1981</v>
      </c>
      <c r="H13" s="80">
        <v>500</v>
      </c>
      <c r="I13" s="80">
        <v>2</v>
      </c>
    </row>
    <row r="14" spans="1:9">
      <c r="A14" s="80" t="s">
        <v>222</v>
      </c>
      <c r="B14" s="80" t="s">
        <v>223</v>
      </c>
      <c r="C14" s="81">
        <v>41875</v>
      </c>
      <c r="D14" s="80">
        <v>29000</v>
      </c>
      <c r="E14" s="80" t="s">
        <v>207</v>
      </c>
      <c r="F14" s="80">
        <v>145</v>
      </c>
      <c r="G14" s="80">
        <v>1998</v>
      </c>
      <c r="H14" s="80">
        <v>500</v>
      </c>
      <c r="I14" s="80">
        <v>2</v>
      </c>
    </row>
    <row r="15" spans="1:9">
      <c r="A15" s="80" t="s">
        <v>224</v>
      </c>
      <c r="B15" s="80" t="s">
        <v>225</v>
      </c>
      <c r="C15" s="81">
        <v>41900</v>
      </c>
      <c r="D15" s="80">
        <v>22000</v>
      </c>
      <c r="E15" s="80" t="s">
        <v>226</v>
      </c>
      <c r="F15" s="80">
        <v>94</v>
      </c>
      <c r="G15" s="80">
        <v>1991</v>
      </c>
      <c r="H15" s="80">
        <v>500</v>
      </c>
      <c r="I15" s="80">
        <v>2</v>
      </c>
    </row>
    <row r="16" spans="1:9">
      <c r="A16" s="80" t="s">
        <v>227</v>
      </c>
      <c r="B16" s="80" t="s">
        <v>228</v>
      </c>
      <c r="C16" s="81">
        <v>41925</v>
      </c>
      <c r="D16" s="80">
        <v>25000</v>
      </c>
      <c r="E16" s="80" t="s">
        <v>226</v>
      </c>
      <c r="F16" s="80">
        <v>117</v>
      </c>
      <c r="G16" s="80">
        <v>1989</v>
      </c>
      <c r="H16" s="80">
        <v>500</v>
      </c>
      <c r="I16" s="80">
        <v>2</v>
      </c>
    </row>
    <row r="17" spans="1:9">
      <c r="A17" s="80" t="s">
        <v>229</v>
      </c>
      <c r="B17" s="80" t="s">
        <v>230</v>
      </c>
      <c r="C17" s="81">
        <v>41950</v>
      </c>
      <c r="D17" s="80">
        <v>25000</v>
      </c>
      <c r="E17" s="80" t="s">
        <v>212</v>
      </c>
      <c r="F17" s="80">
        <v>60</v>
      </c>
      <c r="G17" s="80">
        <v>1991</v>
      </c>
      <c r="H17" s="80">
        <v>500</v>
      </c>
      <c r="I17" s="80">
        <v>2</v>
      </c>
    </row>
    <row r="18" spans="1:9">
      <c r="A18" s="80" t="s">
        <v>231</v>
      </c>
      <c r="B18" s="80" t="s">
        <v>232</v>
      </c>
      <c r="C18" s="81">
        <v>41975</v>
      </c>
      <c r="D18" s="80">
        <v>29000</v>
      </c>
      <c r="E18" s="80" t="s">
        <v>212</v>
      </c>
      <c r="F18" s="80">
        <v>76</v>
      </c>
      <c r="G18" s="80">
        <v>1953</v>
      </c>
      <c r="H18" s="80">
        <v>2000</v>
      </c>
      <c r="I18" s="80">
        <v>1</v>
      </c>
    </row>
    <row r="19" spans="1:9">
      <c r="A19" s="80" t="s">
        <v>233</v>
      </c>
      <c r="B19" s="80" t="s">
        <v>234</v>
      </c>
      <c r="C19" s="81">
        <v>42000</v>
      </c>
      <c r="D19" s="80">
        <v>25000</v>
      </c>
      <c r="E19" s="80" t="s">
        <v>221</v>
      </c>
      <c r="F19" s="80">
        <v>58</v>
      </c>
      <c r="G19" s="80">
        <v>1993</v>
      </c>
      <c r="H19" s="80">
        <v>500</v>
      </c>
      <c r="I19" s="80">
        <v>2</v>
      </c>
    </row>
    <row r="20" spans="1:9">
      <c r="A20" s="80" t="s">
        <v>235</v>
      </c>
      <c r="B20" s="80" t="s">
        <v>236</v>
      </c>
      <c r="C20" s="81">
        <v>42025</v>
      </c>
      <c r="D20" s="80">
        <v>29000</v>
      </c>
      <c r="E20" s="80" t="s">
        <v>221</v>
      </c>
      <c r="F20" s="80">
        <v>178</v>
      </c>
      <c r="G20" s="80">
        <v>2001</v>
      </c>
      <c r="H20" s="80">
        <v>1000</v>
      </c>
      <c r="I20" s="80">
        <v>2</v>
      </c>
    </row>
    <row r="21" spans="1:9">
      <c r="A21" s="80" t="s">
        <v>237</v>
      </c>
      <c r="B21" s="80" t="s">
        <v>238</v>
      </c>
      <c r="C21" s="81">
        <v>42050</v>
      </c>
      <c r="D21" s="80">
        <v>25000</v>
      </c>
      <c r="E21" s="80" t="s">
        <v>207</v>
      </c>
      <c r="F21" s="80">
        <v>113</v>
      </c>
      <c r="G21" s="80">
        <v>2002</v>
      </c>
      <c r="H21" s="80">
        <v>1500</v>
      </c>
      <c r="I21" s="80">
        <v>1</v>
      </c>
    </row>
    <row r="22" spans="1:9">
      <c r="A22" s="80" t="s">
        <v>239</v>
      </c>
      <c r="B22" s="80" t="s">
        <v>240</v>
      </c>
      <c r="C22" s="81">
        <v>42066</v>
      </c>
      <c r="D22" s="80">
        <v>37000</v>
      </c>
      <c r="E22" s="80" t="s">
        <v>226</v>
      </c>
      <c r="F22" s="80">
        <v>578</v>
      </c>
      <c r="G22" s="80">
        <v>1977</v>
      </c>
      <c r="H22" s="80">
        <v>3000</v>
      </c>
      <c r="I22" s="80">
        <v>2</v>
      </c>
    </row>
    <row r="23" spans="1:9">
      <c r="A23" s="80" t="s">
        <v>241</v>
      </c>
      <c r="B23" s="80" t="s">
        <v>242</v>
      </c>
      <c r="C23" s="81">
        <v>42082</v>
      </c>
      <c r="D23" s="80">
        <v>25300</v>
      </c>
      <c r="E23" s="80" t="s">
        <v>212</v>
      </c>
      <c r="F23" s="80">
        <v>80</v>
      </c>
      <c r="G23" s="80">
        <v>2002</v>
      </c>
      <c r="H23" s="80">
        <v>500</v>
      </c>
      <c r="I23" s="80">
        <v>2</v>
      </c>
    </row>
    <row r="24" spans="1:9">
      <c r="A24" s="80" t="s">
        <v>243</v>
      </c>
      <c r="B24" s="80" t="s">
        <v>244</v>
      </c>
      <c r="C24" s="81">
        <v>42098</v>
      </c>
      <c r="D24" s="80">
        <v>16500</v>
      </c>
      <c r="E24" s="80" t="s">
        <v>207</v>
      </c>
      <c r="F24" s="80">
        <v>91</v>
      </c>
      <c r="G24" s="80">
        <v>2001</v>
      </c>
      <c r="H24" s="80">
        <v>1000</v>
      </c>
      <c r="I24" s="80">
        <v>2</v>
      </c>
    </row>
    <row r="25" spans="1:9">
      <c r="A25" s="80" t="s">
        <v>245</v>
      </c>
      <c r="B25" s="80" t="s">
        <v>246</v>
      </c>
      <c r="C25" s="81">
        <v>42114</v>
      </c>
      <c r="D25" s="80">
        <v>19800</v>
      </c>
      <c r="E25" s="80" t="s">
        <v>226</v>
      </c>
      <c r="F25" s="80">
        <v>142</v>
      </c>
      <c r="G25" s="80">
        <v>1979</v>
      </c>
      <c r="H25" s="80">
        <v>1000</v>
      </c>
      <c r="I25" s="80">
        <v>1</v>
      </c>
    </row>
    <row r="26" spans="1:9">
      <c r="A26" s="80" t="s">
        <v>247</v>
      </c>
      <c r="B26" s="80" t="s">
        <v>248</v>
      </c>
      <c r="C26" s="81">
        <v>42130</v>
      </c>
      <c r="D26" s="80">
        <v>22000</v>
      </c>
      <c r="E26" s="80" t="s">
        <v>207</v>
      </c>
      <c r="F26" s="80">
        <v>99</v>
      </c>
      <c r="G26" s="80">
        <v>2002</v>
      </c>
      <c r="H26" s="80">
        <v>1500</v>
      </c>
      <c r="I26" s="80">
        <v>1</v>
      </c>
    </row>
    <row r="27" spans="1:9">
      <c r="A27" s="80" t="s">
        <v>249</v>
      </c>
      <c r="B27" s="80" t="s">
        <v>250</v>
      </c>
      <c r="C27" s="81">
        <v>42146</v>
      </c>
      <c r="D27" s="80">
        <v>25300</v>
      </c>
      <c r="E27" s="80" t="s">
        <v>226</v>
      </c>
      <c r="F27" s="80">
        <v>116</v>
      </c>
      <c r="G27" s="80">
        <v>2001</v>
      </c>
      <c r="H27" s="80">
        <v>1500</v>
      </c>
      <c r="I27" s="80">
        <v>1</v>
      </c>
    </row>
    <row r="28" spans="1:9">
      <c r="A28" s="80" t="s">
        <v>251</v>
      </c>
      <c r="B28" s="80" t="s">
        <v>252</v>
      </c>
      <c r="C28" s="81">
        <v>42162</v>
      </c>
      <c r="D28" s="80">
        <v>49000</v>
      </c>
      <c r="E28" s="80" t="s">
        <v>221</v>
      </c>
      <c r="F28" s="80">
        <v>184</v>
      </c>
      <c r="G28" s="80">
        <v>2001</v>
      </c>
      <c r="H28" s="80">
        <v>3000</v>
      </c>
      <c r="I28" s="80">
        <v>2</v>
      </c>
    </row>
    <row r="29" spans="1:9">
      <c r="A29" s="80" t="s">
        <v>253</v>
      </c>
      <c r="B29" s="80" t="s">
        <v>254</v>
      </c>
      <c r="C29" s="81">
        <v>42178</v>
      </c>
      <c r="D29" s="80">
        <v>27500</v>
      </c>
      <c r="E29" s="80" t="s">
        <v>204</v>
      </c>
      <c r="F29" s="80">
        <v>113</v>
      </c>
      <c r="G29" s="80">
        <v>2001</v>
      </c>
      <c r="H29" s="80">
        <v>1500</v>
      </c>
      <c r="I29" s="80">
        <v>1</v>
      </c>
    </row>
    <row r="30" spans="1:9">
      <c r="A30" s="80" t="s">
        <v>255</v>
      </c>
      <c r="B30" s="80" t="s">
        <v>256</v>
      </c>
      <c r="C30" s="81">
        <v>42194</v>
      </c>
      <c r="D30" s="80">
        <v>19980</v>
      </c>
      <c r="E30" s="80" t="s">
        <v>207</v>
      </c>
      <c r="F30" s="80">
        <v>128</v>
      </c>
      <c r="G30" s="80">
        <v>1979</v>
      </c>
      <c r="H30" s="80">
        <v>1000</v>
      </c>
      <c r="I30" s="80">
        <v>1</v>
      </c>
    </row>
    <row r="31" spans="1:9">
      <c r="A31" s="80" t="s">
        <v>257</v>
      </c>
      <c r="B31" s="80" t="s">
        <v>258</v>
      </c>
      <c r="C31" s="81">
        <v>42210</v>
      </c>
      <c r="D31" s="80">
        <v>25000</v>
      </c>
      <c r="E31" s="80" t="s">
        <v>212</v>
      </c>
      <c r="F31" s="80">
        <v>25</v>
      </c>
      <c r="G31" s="80">
        <v>1996</v>
      </c>
      <c r="H31" s="80">
        <v>1000</v>
      </c>
      <c r="I31" s="80">
        <v>2</v>
      </c>
    </row>
    <row r="32" spans="1:9">
      <c r="A32" s="80" t="s">
        <v>259</v>
      </c>
      <c r="B32" s="80" t="s">
        <v>260</v>
      </c>
      <c r="C32" s="81">
        <v>42226</v>
      </c>
      <c r="D32" s="80">
        <v>25300</v>
      </c>
      <c r="E32" s="80" t="s">
        <v>204</v>
      </c>
      <c r="F32" s="80">
        <v>95</v>
      </c>
      <c r="G32" s="80">
        <v>2001</v>
      </c>
      <c r="H32" s="80">
        <v>1500</v>
      </c>
      <c r="I32" s="80">
        <v>1</v>
      </c>
    </row>
    <row r="33" spans="1:9">
      <c r="A33" s="80" t="s">
        <v>261</v>
      </c>
      <c r="B33" s="80" t="s">
        <v>262</v>
      </c>
      <c r="C33" s="81">
        <v>42242</v>
      </c>
      <c r="D33" s="80">
        <v>25300</v>
      </c>
      <c r="E33" s="80" t="s">
        <v>207</v>
      </c>
      <c r="F33" s="80">
        <v>127</v>
      </c>
      <c r="G33" s="80">
        <v>2001</v>
      </c>
      <c r="H33" s="80">
        <v>1000</v>
      </c>
      <c r="I33" s="80">
        <v>2</v>
      </c>
    </row>
    <row r="34" spans="1:9">
      <c r="A34" s="80" t="s">
        <v>263</v>
      </c>
      <c r="B34" s="80" t="s">
        <v>264</v>
      </c>
      <c r="C34" s="81">
        <v>41784</v>
      </c>
      <c r="D34" s="80">
        <v>25000</v>
      </c>
      <c r="E34" s="80" t="s">
        <v>204</v>
      </c>
      <c r="F34" s="80">
        <v>126</v>
      </c>
      <c r="G34" s="80">
        <v>2002</v>
      </c>
      <c r="H34" s="80">
        <v>2000</v>
      </c>
      <c r="I34" s="80">
        <v>2</v>
      </c>
    </row>
    <row r="35" spans="1:9">
      <c r="A35" s="80" t="s">
        <v>265</v>
      </c>
      <c r="B35" s="80" t="s">
        <v>266</v>
      </c>
      <c r="C35" s="81">
        <v>41800</v>
      </c>
      <c r="D35" s="80">
        <v>24000</v>
      </c>
      <c r="E35" s="80" t="s">
        <v>221</v>
      </c>
      <c r="F35" s="80">
        <v>115</v>
      </c>
      <c r="G35" s="80">
        <v>1997</v>
      </c>
      <c r="H35" s="80">
        <v>1000</v>
      </c>
      <c r="I35" s="80">
        <v>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 filterMode="1"/>
  <dimension ref="A5:I35"/>
  <sheetViews>
    <sheetView workbookViewId="0">
      <selection activeCell="A5" sqref="A5"/>
    </sheetView>
  </sheetViews>
  <sheetFormatPr defaultRowHeight="16.5"/>
  <cols>
    <col min="2" max="2" width="21.375" bestFit="1" customWidth="1"/>
    <col min="3" max="3" width="11.125" bestFit="1" customWidth="1"/>
    <col min="5" max="5" width="11" bestFit="1" customWidth="1"/>
  </cols>
  <sheetData>
    <row r="5" spans="1:9">
      <c r="A5" s="79" t="s">
        <v>193</v>
      </c>
      <c r="B5" s="79" t="s">
        <v>194</v>
      </c>
      <c r="C5" s="79" t="s">
        <v>195</v>
      </c>
      <c r="D5" s="79" t="s">
        <v>196</v>
      </c>
      <c r="E5" s="79" t="s">
        <v>197</v>
      </c>
      <c r="F5" s="79" t="s">
        <v>198</v>
      </c>
      <c r="G5" s="79" t="s">
        <v>199</v>
      </c>
      <c r="H5" s="79" t="s">
        <v>200</v>
      </c>
      <c r="I5" s="79" t="s">
        <v>201</v>
      </c>
    </row>
    <row r="6" spans="1:9" hidden="1">
      <c r="A6" s="80" t="s">
        <v>202</v>
      </c>
      <c r="B6" s="80" t="s">
        <v>203</v>
      </c>
      <c r="C6" s="81">
        <v>41785</v>
      </c>
      <c r="D6" s="80">
        <v>25000</v>
      </c>
      <c r="E6" s="80" t="s">
        <v>204</v>
      </c>
      <c r="F6" s="80">
        <v>105</v>
      </c>
      <c r="G6" s="80">
        <v>1955</v>
      </c>
      <c r="H6" s="80">
        <v>2000</v>
      </c>
      <c r="I6" s="80">
        <v>1</v>
      </c>
    </row>
    <row r="7" spans="1:9" hidden="1">
      <c r="A7" s="80" t="s">
        <v>205</v>
      </c>
      <c r="B7" s="80" t="s">
        <v>206</v>
      </c>
      <c r="C7" s="81">
        <v>41788</v>
      </c>
      <c r="D7" s="80">
        <v>25300</v>
      </c>
      <c r="E7" s="80" t="s">
        <v>207</v>
      </c>
      <c r="F7" s="80">
        <v>125</v>
      </c>
      <c r="G7" s="80">
        <v>2001</v>
      </c>
      <c r="H7" s="80">
        <v>1000</v>
      </c>
      <c r="I7" s="80">
        <v>2</v>
      </c>
    </row>
    <row r="8" spans="1:9" hidden="1">
      <c r="A8" s="80" t="s">
        <v>208</v>
      </c>
      <c r="B8" s="80" t="s">
        <v>209</v>
      </c>
      <c r="C8" s="81">
        <v>41791</v>
      </c>
      <c r="D8" s="80">
        <v>29500</v>
      </c>
      <c r="E8" s="80" t="s">
        <v>207</v>
      </c>
      <c r="F8" s="80">
        <v>175</v>
      </c>
      <c r="G8" s="80">
        <v>1963</v>
      </c>
      <c r="H8" s="80">
        <v>1000</v>
      </c>
      <c r="I8" s="80">
        <v>1</v>
      </c>
    </row>
    <row r="9" spans="1:9">
      <c r="A9" s="80" t="s">
        <v>210</v>
      </c>
      <c r="B9" s="80" t="s">
        <v>211</v>
      </c>
      <c r="C9" s="81">
        <v>41794</v>
      </c>
      <c r="D9" s="80">
        <v>23000</v>
      </c>
      <c r="E9" s="80" t="s">
        <v>212</v>
      </c>
      <c r="F9" s="80">
        <v>128</v>
      </c>
      <c r="G9" s="80">
        <v>1973</v>
      </c>
      <c r="H9" s="80">
        <v>1000</v>
      </c>
      <c r="I9" s="80">
        <v>2</v>
      </c>
    </row>
    <row r="10" spans="1:9" hidden="1">
      <c r="A10" s="80" t="s">
        <v>213</v>
      </c>
      <c r="B10" s="80" t="s">
        <v>214</v>
      </c>
      <c r="C10" s="81">
        <v>41797</v>
      </c>
      <c r="D10" s="80">
        <v>25000</v>
      </c>
      <c r="E10" s="80" t="s">
        <v>207</v>
      </c>
      <c r="F10" s="80">
        <v>121</v>
      </c>
      <c r="G10" s="80">
        <v>2002</v>
      </c>
      <c r="H10" s="80">
        <v>1500</v>
      </c>
      <c r="I10" s="80">
        <v>1</v>
      </c>
    </row>
    <row r="11" spans="1:9" hidden="1">
      <c r="A11" s="80" t="s">
        <v>215</v>
      </c>
      <c r="B11" s="80" t="s">
        <v>216</v>
      </c>
      <c r="C11" s="81">
        <v>41800</v>
      </c>
      <c r="D11" s="80">
        <v>25000</v>
      </c>
      <c r="E11" s="80" t="s">
        <v>204</v>
      </c>
      <c r="F11" s="80">
        <v>111</v>
      </c>
      <c r="G11" s="80">
        <v>1995</v>
      </c>
      <c r="H11" s="80">
        <v>500</v>
      </c>
      <c r="I11" s="80">
        <v>2</v>
      </c>
    </row>
    <row r="12" spans="1:9" hidden="1">
      <c r="A12" s="80" t="s">
        <v>217</v>
      </c>
      <c r="B12" s="80" t="s">
        <v>218</v>
      </c>
      <c r="C12" s="81">
        <v>41825</v>
      </c>
      <c r="D12" s="80">
        <v>25300</v>
      </c>
      <c r="E12" s="80" t="s">
        <v>204</v>
      </c>
      <c r="F12" s="80">
        <v>110</v>
      </c>
      <c r="G12" s="80">
        <v>2002</v>
      </c>
      <c r="H12" s="80">
        <v>1500</v>
      </c>
      <c r="I12" s="80">
        <v>1</v>
      </c>
    </row>
    <row r="13" spans="1:9" hidden="1">
      <c r="A13" s="80" t="s">
        <v>219</v>
      </c>
      <c r="B13" s="80" t="s">
        <v>220</v>
      </c>
      <c r="C13" s="81">
        <v>41850</v>
      </c>
      <c r="D13" s="80">
        <v>16500</v>
      </c>
      <c r="E13" s="80" t="s">
        <v>221</v>
      </c>
      <c r="F13" s="80">
        <v>118</v>
      </c>
      <c r="G13" s="80">
        <v>1981</v>
      </c>
      <c r="H13" s="80">
        <v>500</v>
      </c>
      <c r="I13" s="80">
        <v>2</v>
      </c>
    </row>
    <row r="14" spans="1:9" hidden="1">
      <c r="A14" s="80" t="s">
        <v>222</v>
      </c>
      <c r="B14" s="80" t="s">
        <v>223</v>
      </c>
      <c r="C14" s="81">
        <v>41875</v>
      </c>
      <c r="D14" s="80">
        <v>29000</v>
      </c>
      <c r="E14" s="80" t="s">
        <v>207</v>
      </c>
      <c r="F14" s="80">
        <v>145</v>
      </c>
      <c r="G14" s="80">
        <v>1998</v>
      </c>
      <c r="H14" s="80">
        <v>500</v>
      </c>
      <c r="I14" s="80">
        <v>2</v>
      </c>
    </row>
    <row r="15" spans="1:9" hidden="1">
      <c r="A15" s="80" t="s">
        <v>224</v>
      </c>
      <c r="B15" s="80" t="s">
        <v>225</v>
      </c>
      <c r="C15" s="81">
        <v>41900</v>
      </c>
      <c r="D15" s="80">
        <v>22000</v>
      </c>
      <c r="E15" s="80" t="s">
        <v>226</v>
      </c>
      <c r="F15" s="80">
        <v>94</v>
      </c>
      <c r="G15" s="80">
        <v>1991</v>
      </c>
      <c r="H15" s="80">
        <v>500</v>
      </c>
      <c r="I15" s="80">
        <v>2</v>
      </c>
    </row>
    <row r="16" spans="1:9" hidden="1">
      <c r="A16" s="80" t="s">
        <v>227</v>
      </c>
      <c r="B16" s="80" t="s">
        <v>228</v>
      </c>
      <c r="C16" s="81">
        <v>41925</v>
      </c>
      <c r="D16" s="80">
        <v>25000</v>
      </c>
      <c r="E16" s="80" t="s">
        <v>226</v>
      </c>
      <c r="F16" s="80">
        <v>117</v>
      </c>
      <c r="G16" s="80">
        <v>1989</v>
      </c>
      <c r="H16" s="80">
        <v>500</v>
      </c>
      <c r="I16" s="80">
        <v>2</v>
      </c>
    </row>
    <row r="17" spans="1:9">
      <c r="A17" s="80" t="s">
        <v>229</v>
      </c>
      <c r="B17" s="80" t="s">
        <v>230</v>
      </c>
      <c r="C17" s="81">
        <v>41950</v>
      </c>
      <c r="D17" s="80">
        <v>25000</v>
      </c>
      <c r="E17" s="80" t="s">
        <v>212</v>
      </c>
      <c r="F17" s="80">
        <v>60</v>
      </c>
      <c r="G17" s="80">
        <v>1991</v>
      </c>
      <c r="H17" s="80">
        <v>500</v>
      </c>
      <c r="I17" s="80">
        <v>2</v>
      </c>
    </row>
    <row r="18" spans="1:9">
      <c r="A18" s="80" t="s">
        <v>231</v>
      </c>
      <c r="B18" s="80" t="s">
        <v>232</v>
      </c>
      <c r="C18" s="81">
        <v>41975</v>
      </c>
      <c r="D18" s="80">
        <v>29000</v>
      </c>
      <c r="E18" s="80" t="s">
        <v>212</v>
      </c>
      <c r="F18" s="80">
        <v>76</v>
      </c>
      <c r="G18" s="80">
        <v>1953</v>
      </c>
      <c r="H18" s="80">
        <v>2000</v>
      </c>
      <c r="I18" s="80">
        <v>1</v>
      </c>
    </row>
    <row r="19" spans="1:9" hidden="1">
      <c r="A19" s="80" t="s">
        <v>233</v>
      </c>
      <c r="B19" s="80" t="s">
        <v>234</v>
      </c>
      <c r="C19" s="81">
        <v>42000</v>
      </c>
      <c r="D19" s="80">
        <v>25000</v>
      </c>
      <c r="E19" s="80" t="s">
        <v>221</v>
      </c>
      <c r="F19" s="80">
        <v>58</v>
      </c>
      <c r="G19" s="80">
        <v>1993</v>
      </c>
      <c r="H19" s="80">
        <v>500</v>
      </c>
      <c r="I19" s="80">
        <v>2</v>
      </c>
    </row>
    <row r="20" spans="1:9" hidden="1">
      <c r="A20" s="80" t="s">
        <v>235</v>
      </c>
      <c r="B20" s="80" t="s">
        <v>236</v>
      </c>
      <c r="C20" s="81">
        <v>42025</v>
      </c>
      <c r="D20" s="80">
        <v>29000</v>
      </c>
      <c r="E20" s="80" t="s">
        <v>221</v>
      </c>
      <c r="F20" s="80">
        <v>178</v>
      </c>
      <c r="G20" s="80">
        <v>2001</v>
      </c>
      <c r="H20" s="80">
        <v>1000</v>
      </c>
      <c r="I20" s="80">
        <v>2</v>
      </c>
    </row>
    <row r="21" spans="1:9" hidden="1">
      <c r="A21" s="80" t="s">
        <v>237</v>
      </c>
      <c r="B21" s="80" t="s">
        <v>238</v>
      </c>
      <c r="C21" s="81">
        <v>42050</v>
      </c>
      <c r="D21" s="80">
        <v>25000</v>
      </c>
      <c r="E21" s="80" t="s">
        <v>207</v>
      </c>
      <c r="F21" s="80">
        <v>113</v>
      </c>
      <c r="G21" s="80">
        <v>2002</v>
      </c>
      <c r="H21" s="80">
        <v>1500</v>
      </c>
      <c r="I21" s="80">
        <v>1</v>
      </c>
    </row>
    <row r="22" spans="1:9" hidden="1">
      <c r="A22" s="80" t="s">
        <v>239</v>
      </c>
      <c r="B22" s="80" t="s">
        <v>240</v>
      </c>
      <c r="C22" s="81">
        <v>42066</v>
      </c>
      <c r="D22" s="80">
        <v>37000</v>
      </c>
      <c r="E22" s="80" t="s">
        <v>226</v>
      </c>
      <c r="F22" s="80">
        <v>578</v>
      </c>
      <c r="G22" s="80">
        <v>1977</v>
      </c>
      <c r="H22" s="80">
        <v>3000</v>
      </c>
      <c r="I22" s="80">
        <v>2</v>
      </c>
    </row>
    <row r="23" spans="1:9">
      <c r="A23" s="80" t="s">
        <v>241</v>
      </c>
      <c r="B23" s="80" t="s">
        <v>242</v>
      </c>
      <c r="C23" s="81">
        <v>42082</v>
      </c>
      <c r="D23" s="80">
        <v>25300</v>
      </c>
      <c r="E23" s="80" t="s">
        <v>212</v>
      </c>
      <c r="F23" s="80">
        <v>80</v>
      </c>
      <c r="G23" s="80">
        <v>2002</v>
      </c>
      <c r="H23" s="80">
        <v>500</v>
      </c>
      <c r="I23" s="80">
        <v>2</v>
      </c>
    </row>
    <row r="24" spans="1:9" hidden="1">
      <c r="A24" s="80" t="s">
        <v>243</v>
      </c>
      <c r="B24" s="80" t="s">
        <v>244</v>
      </c>
      <c r="C24" s="81">
        <v>42098</v>
      </c>
      <c r="D24" s="80">
        <v>16500</v>
      </c>
      <c r="E24" s="80" t="s">
        <v>207</v>
      </c>
      <c r="F24" s="80">
        <v>91</v>
      </c>
      <c r="G24" s="80">
        <v>2001</v>
      </c>
      <c r="H24" s="80">
        <v>1000</v>
      </c>
      <c r="I24" s="80">
        <v>2</v>
      </c>
    </row>
    <row r="25" spans="1:9" hidden="1">
      <c r="A25" s="80" t="s">
        <v>245</v>
      </c>
      <c r="B25" s="80" t="s">
        <v>246</v>
      </c>
      <c r="C25" s="81">
        <v>42114</v>
      </c>
      <c r="D25" s="80">
        <v>19800</v>
      </c>
      <c r="E25" s="80" t="s">
        <v>226</v>
      </c>
      <c r="F25" s="80">
        <v>142</v>
      </c>
      <c r="G25" s="80">
        <v>1979</v>
      </c>
      <c r="H25" s="80">
        <v>1000</v>
      </c>
      <c r="I25" s="80">
        <v>1</v>
      </c>
    </row>
    <row r="26" spans="1:9" hidden="1">
      <c r="A26" s="80" t="s">
        <v>247</v>
      </c>
      <c r="B26" s="80" t="s">
        <v>248</v>
      </c>
      <c r="C26" s="81">
        <v>42130</v>
      </c>
      <c r="D26" s="80">
        <v>22000</v>
      </c>
      <c r="E26" s="80" t="s">
        <v>207</v>
      </c>
      <c r="F26" s="80">
        <v>99</v>
      </c>
      <c r="G26" s="80">
        <v>2002</v>
      </c>
      <c r="H26" s="80">
        <v>1500</v>
      </c>
      <c r="I26" s="80">
        <v>1</v>
      </c>
    </row>
    <row r="27" spans="1:9" hidden="1">
      <c r="A27" s="80" t="s">
        <v>249</v>
      </c>
      <c r="B27" s="80" t="s">
        <v>250</v>
      </c>
      <c r="C27" s="81">
        <v>42146</v>
      </c>
      <c r="D27" s="80">
        <v>25300</v>
      </c>
      <c r="E27" s="80" t="s">
        <v>226</v>
      </c>
      <c r="F27" s="80">
        <v>116</v>
      </c>
      <c r="G27" s="80">
        <v>2001</v>
      </c>
      <c r="H27" s="80">
        <v>1500</v>
      </c>
      <c r="I27" s="80">
        <v>1</v>
      </c>
    </row>
    <row r="28" spans="1:9" hidden="1">
      <c r="A28" s="80" t="s">
        <v>251</v>
      </c>
      <c r="B28" s="80" t="s">
        <v>252</v>
      </c>
      <c r="C28" s="81">
        <v>42162</v>
      </c>
      <c r="D28" s="80">
        <v>49000</v>
      </c>
      <c r="E28" s="80" t="s">
        <v>221</v>
      </c>
      <c r="F28" s="80">
        <v>184</v>
      </c>
      <c r="G28" s="80">
        <v>2001</v>
      </c>
      <c r="H28" s="80">
        <v>3000</v>
      </c>
      <c r="I28" s="80">
        <v>2</v>
      </c>
    </row>
    <row r="29" spans="1:9" hidden="1">
      <c r="A29" s="80" t="s">
        <v>253</v>
      </c>
      <c r="B29" s="80" t="s">
        <v>254</v>
      </c>
      <c r="C29" s="81">
        <v>42178</v>
      </c>
      <c r="D29" s="80">
        <v>27500</v>
      </c>
      <c r="E29" s="80" t="s">
        <v>204</v>
      </c>
      <c r="F29" s="80">
        <v>113</v>
      </c>
      <c r="G29" s="80">
        <v>2001</v>
      </c>
      <c r="H29" s="80">
        <v>1500</v>
      </c>
      <c r="I29" s="80">
        <v>1</v>
      </c>
    </row>
    <row r="30" spans="1:9" hidden="1">
      <c r="A30" s="80" t="s">
        <v>255</v>
      </c>
      <c r="B30" s="80" t="s">
        <v>256</v>
      </c>
      <c r="C30" s="81">
        <v>42194</v>
      </c>
      <c r="D30" s="80">
        <v>19980</v>
      </c>
      <c r="E30" s="80" t="s">
        <v>207</v>
      </c>
      <c r="F30" s="80">
        <v>128</v>
      </c>
      <c r="G30" s="80">
        <v>1979</v>
      </c>
      <c r="H30" s="80">
        <v>1000</v>
      </c>
      <c r="I30" s="80">
        <v>1</v>
      </c>
    </row>
    <row r="31" spans="1:9">
      <c r="A31" s="80" t="s">
        <v>257</v>
      </c>
      <c r="B31" s="80" t="s">
        <v>258</v>
      </c>
      <c r="C31" s="81">
        <v>42210</v>
      </c>
      <c r="D31" s="80">
        <v>25000</v>
      </c>
      <c r="E31" s="80" t="s">
        <v>212</v>
      </c>
      <c r="F31" s="80">
        <v>25</v>
      </c>
      <c r="G31" s="80">
        <v>1996</v>
      </c>
      <c r="H31" s="80">
        <v>1000</v>
      </c>
      <c r="I31" s="80">
        <v>2</v>
      </c>
    </row>
    <row r="32" spans="1:9" hidden="1">
      <c r="A32" s="80" t="s">
        <v>259</v>
      </c>
      <c r="B32" s="80" t="s">
        <v>260</v>
      </c>
      <c r="C32" s="81">
        <v>42226</v>
      </c>
      <c r="D32" s="80">
        <v>25300</v>
      </c>
      <c r="E32" s="80" t="s">
        <v>204</v>
      </c>
      <c r="F32" s="80">
        <v>95</v>
      </c>
      <c r="G32" s="80">
        <v>2001</v>
      </c>
      <c r="H32" s="80">
        <v>1500</v>
      </c>
      <c r="I32" s="80">
        <v>1</v>
      </c>
    </row>
    <row r="33" spans="1:9" hidden="1">
      <c r="A33" s="80" t="s">
        <v>261</v>
      </c>
      <c r="B33" s="80" t="s">
        <v>262</v>
      </c>
      <c r="C33" s="81">
        <v>42242</v>
      </c>
      <c r="D33" s="80">
        <v>25300</v>
      </c>
      <c r="E33" s="80" t="s">
        <v>207</v>
      </c>
      <c r="F33" s="80">
        <v>127</v>
      </c>
      <c r="G33" s="80">
        <v>2001</v>
      </c>
      <c r="H33" s="80">
        <v>1000</v>
      </c>
      <c r="I33" s="80">
        <v>2</v>
      </c>
    </row>
    <row r="34" spans="1:9" hidden="1">
      <c r="A34" s="80" t="s">
        <v>263</v>
      </c>
      <c r="B34" s="80" t="s">
        <v>264</v>
      </c>
      <c r="C34" s="81">
        <v>41784</v>
      </c>
      <c r="D34" s="80">
        <v>25000</v>
      </c>
      <c r="E34" s="80" t="s">
        <v>204</v>
      </c>
      <c r="F34" s="80">
        <v>126</v>
      </c>
      <c r="G34" s="80">
        <v>2002</v>
      </c>
      <c r="H34" s="80">
        <v>2000</v>
      </c>
      <c r="I34" s="80">
        <v>2</v>
      </c>
    </row>
    <row r="35" spans="1:9" hidden="1">
      <c r="A35" s="80" t="s">
        <v>265</v>
      </c>
      <c r="B35" s="80" t="s">
        <v>266</v>
      </c>
      <c r="C35" s="81">
        <v>41800</v>
      </c>
      <c r="D35" s="80">
        <v>24000</v>
      </c>
      <c r="E35" s="80" t="s">
        <v>221</v>
      </c>
      <c r="F35" s="80">
        <v>115</v>
      </c>
      <c r="G35" s="80">
        <v>1997</v>
      </c>
      <c r="H35" s="80">
        <v>1000</v>
      </c>
      <c r="I35" s="80">
        <v>1</v>
      </c>
    </row>
  </sheetData>
  <autoFilter ref="A5:I35">
    <filterColumn colId="4">
      <filters>
        <filter val="애니메이션"/>
      </filters>
    </filterColumn>
  </autoFilter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애니메이션정답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5:F23"/>
  <sheetViews>
    <sheetView workbookViewId="0"/>
  </sheetViews>
  <sheetFormatPr defaultRowHeight="16.5"/>
  <cols>
    <col min="1" max="1" width="2.625" customWidth="1"/>
    <col min="2" max="3" width="7.75" style="17" bestFit="1" customWidth="1"/>
    <col min="4" max="5" width="11.25" style="17" bestFit="1" customWidth="1"/>
    <col min="6" max="6" width="10" style="17" bestFit="1" customWidth="1"/>
  </cols>
  <sheetData>
    <row r="5" spans="2:6">
      <c r="B5" s="82" t="s">
        <v>275</v>
      </c>
      <c r="C5" s="82" t="s">
        <v>267</v>
      </c>
      <c r="D5" s="82" t="s">
        <v>268</v>
      </c>
      <c r="E5" s="82" t="s">
        <v>269</v>
      </c>
      <c r="F5" s="82" t="s">
        <v>270</v>
      </c>
    </row>
    <row r="6" spans="2:6">
      <c r="B6" s="83" t="s">
        <v>276</v>
      </c>
      <c r="C6" s="83" t="s">
        <v>271</v>
      </c>
      <c r="D6" s="84">
        <v>33000</v>
      </c>
      <c r="E6" s="84">
        <v>32010</v>
      </c>
      <c r="F6" s="84">
        <v>990</v>
      </c>
    </row>
    <row r="7" spans="2:6">
      <c r="B7" s="83" t="s">
        <v>277</v>
      </c>
      <c r="C7" s="83" t="s">
        <v>272</v>
      </c>
      <c r="D7" s="84">
        <v>89000</v>
      </c>
      <c r="E7" s="84">
        <v>66750</v>
      </c>
      <c r="F7" s="84">
        <v>22250</v>
      </c>
    </row>
    <row r="8" spans="2:6">
      <c r="B8" s="83" t="s">
        <v>278</v>
      </c>
      <c r="C8" s="83" t="s">
        <v>271</v>
      </c>
      <c r="D8" s="84">
        <v>39780</v>
      </c>
      <c r="E8" s="84">
        <v>31824</v>
      </c>
      <c r="F8" s="84">
        <v>7956</v>
      </c>
    </row>
    <row r="9" spans="2:6">
      <c r="B9" s="83" t="s">
        <v>277</v>
      </c>
      <c r="C9" s="83" t="s">
        <v>273</v>
      </c>
      <c r="D9" s="84">
        <v>94000</v>
      </c>
      <c r="E9" s="84">
        <v>58280</v>
      </c>
      <c r="F9" s="84">
        <v>35720</v>
      </c>
    </row>
    <row r="10" spans="2:6">
      <c r="B10" s="83" t="s">
        <v>279</v>
      </c>
      <c r="C10" s="83" t="s">
        <v>271</v>
      </c>
      <c r="D10" s="84">
        <v>21000</v>
      </c>
      <c r="E10" s="84">
        <v>18480</v>
      </c>
      <c r="F10" s="84">
        <v>2520</v>
      </c>
    </row>
    <row r="11" spans="2:6">
      <c r="B11" s="83" t="s">
        <v>277</v>
      </c>
      <c r="C11" s="83" t="s">
        <v>273</v>
      </c>
      <c r="D11" s="84">
        <v>50000</v>
      </c>
      <c r="E11" s="84">
        <v>37500</v>
      </c>
      <c r="F11" s="84">
        <v>12500</v>
      </c>
    </row>
    <row r="12" spans="2:6">
      <c r="B12" s="83" t="s">
        <v>279</v>
      </c>
      <c r="C12" s="83" t="s">
        <v>271</v>
      </c>
      <c r="D12" s="84">
        <v>19800</v>
      </c>
      <c r="E12" s="84">
        <v>9504</v>
      </c>
      <c r="F12" s="84">
        <v>10296</v>
      </c>
    </row>
    <row r="13" spans="2:6">
      <c r="B13" s="83" t="s">
        <v>277</v>
      </c>
      <c r="C13" s="83" t="s">
        <v>273</v>
      </c>
      <c r="D13" s="84">
        <v>64000</v>
      </c>
      <c r="E13" s="84">
        <v>42240</v>
      </c>
      <c r="F13" s="84">
        <v>21760</v>
      </c>
    </row>
    <row r="14" spans="2:6">
      <c r="B14" s="83" t="s">
        <v>280</v>
      </c>
      <c r="C14" s="83" t="s">
        <v>271</v>
      </c>
      <c r="D14" s="84">
        <v>19000</v>
      </c>
      <c r="E14" s="84">
        <v>13490</v>
      </c>
      <c r="F14" s="84">
        <v>5510</v>
      </c>
    </row>
    <row r="15" spans="2:6">
      <c r="B15" s="83" t="s">
        <v>277</v>
      </c>
      <c r="C15" s="83" t="s">
        <v>272</v>
      </c>
      <c r="D15" s="84">
        <v>110000</v>
      </c>
      <c r="E15" s="84">
        <v>74800</v>
      </c>
      <c r="F15" s="84">
        <v>35200</v>
      </c>
    </row>
    <row r="16" spans="2:6">
      <c r="B16" s="83" t="s">
        <v>278</v>
      </c>
      <c r="C16" s="83" t="s">
        <v>271</v>
      </c>
      <c r="D16" s="84">
        <v>18000</v>
      </c>
      <c r="E16" s="84">
        <v>9900</v>
      </c>
      <c r="F16" s="84">
        <v>8100</v>
      </c>
    </row>
    <row r="17" spans="2:6">
      <c r="B17" s="83" t="s">
        <v>277</v>
      </c>
      <c r="C17" s="83" t="s">
        <v>273</v>
      </c>
      <c r="D17" s="84">
        <v>75600</v>
      </c>
      <c r="E17" s="84">
        <v>45360</v>
      </c>
      <c r="F17" s="84">
        <v>30240</v>
      </c>
    </row>
    <row r="18" spans="2:6">
      <c r="B18" s="83" t="s">
        <v>279</v>
      </c>
      <c r="C18" s="83" t="s">
        <v>271</v>
      </c>
      <c r="D18" s="84">
        <v>28000</v>
      </c>
      <c r="E18" s="84">
        <v>25760</v>
      </c>
      <c r="F18" s="84">
        <v>2240</v>
      </c>
    </row>
    <row r="19" spans="2:6">
      <c r="B19" s="83" t="s">
        <v>281</v>
      </c>
      <c r="C19" s="83" t="s">
        <v>271</v>
      </c>
      <c r="D19" s="84">
        <v>26800</v>
      </c>
      <c r="E19" s="84">
        <v>19028</v>
      </c>
      <c r="F19" s="84">
        <v>7772</v>
      </c>
    </row>
    <row r="20" spans="2:6">
      <c r="B20" s="4" t="s">
        <v>281</v>
      </c>
      <c r="C20" s="4" t="s">
        <v>274</v>
      </c>
      <c r="D20" s="11">
        <v>79800</v>
      </c>
      <c r="E20" s="11">
        <v>57456</v>
      </c>
      <c r="F20" s="11">
        <v>22344</v>
      </c>
    </row>
    <row r="21" spans="2:6">
      <c r="B21" s="83" t="s">
        <v>278</v>
      </c>
      <c r="C21" s="83" t="s">
        <v>274</v>
      </c>
      <c r="D21" s="84">
        <v>84000</v>
      </c>
      <c r="E21" s="84">
        <v>79800</v>
      </c>
      <c r="F21" s="84">
        <v>4200</v>
      </c>
    </row>
    <row r="22" spans="2:6">
      <c r="B22" s="83" t="s">
        <v>282</v>
      </c>
      <c r="C22" s="83" t="s">
        <v>273</v>
      </c>
      <c r="D22" s="84">
        <v>60000</v>
      </c>
      <c r="E22" s="84">
        <v>58200</v>
      </c>
      <c r="F22" s="84">
        <v>1800</v>
      </c>
    </row>
    <row r="23" spans="2:6">
      <c r="B23" s="83" t="s">
        <v>280</v>
      </c>
      <c r="C23" s="83" t="s">
        <v>272</v>
      </c>
      <c r="D23" s="84">
        <v>120000</v>
      </c>
      <c r="E23" s="84">
        <v>102000</v>
      </c>
      <c r="F23" s="84">
        <v>18000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filterMode="1"/>
  <dimension ref="B5:F23"/>
  <sheetViews>
    <sheetView workbookViewId="0"/>
  </sheetViews>
  <sheetFormatPr defaultRowHeight="16.5"/>
  <cols>
    <col min="1" max="1" width="2.625" customWidth="1"/>
    <col min="2" max="3" width="7.75" style="17" bestFit="1" customWidth="1"/>
    <col min="4" max="5" width="11.25" style="17" bestFit="1" customWidth="1"/>
    <col min="6" max="6" width="10" style="17" bestFit="1" customWidth="1"/>
  </cols>
  <sheetData>
    <row r="5" spans="2:6">
      <c r="B5" s="82" t="s">
        <v>275</v>
      </c>
      <c r="C5" s="82" t="s">
        <v>267</v>
      </c>
      <c r="D5" s="82" t="s">
        <v>268</v>
      </c>
      <c r="E5" s="82" t="s">
        <v>269</v>
      </c>
      <c r="F5" s="82" t="s">
        <v>270</v>
      </c>
    </row>
    <row r="6" spans="2:6">
      <c r="B6" s="83" t="s">
        <v>276</v>
      </c>
      <c r="C6" s="83" t="s">
        <v>271</v>
      </c>
      <c r="D6" s="84">
        <v>33000</v>
      </c>
      <c r="E6" s="84">
        <v>32010</v>
      </c>
      <c r="F6" s="84">
        <v>990</v>
      </c>
    </row>
    <row r="7" spans="2:6" hidden="1">
      <c r="B7" s="83" t="s">
        <v>277</v>
      </c>
      <c r="C7" s="83" t="s">
        <v>272</v>
      </c>
      <c r="D7" s="84">
        <v>89000</v>
      </c>
      <c r="E7" s="84">
        <v>66750</v>
      </c>
      <c r="F7" s="84">
        <v>22250</v>
      </c>
    </row>
    <row r="8" spans="2:6">
      <c r="B8" s="83" t="s">
        <v>278</v>
      </c>
      <c r="C8" s="83" t="s">
        <v>271</v>
      </c>
      <c r="D8" s="84">
        <v>39780</v>
      </c>
      <c r="E8" s="84">
        <v>31824</v>
      </c>
      <c r="F8" s="84">
        <v>7956</v>
      </c>
    </row>
    <row r="9" spans="2:6" hidden="1">
      <c r="B9" s="83" t="s">
        <v>277</v>
      </c>
      <c r="C9" s="83" t="s">
        <v>273</v>
      </c>
      <c r="D9" s="84">
        <v>94000</v>
      </c>
      <c r="E9" s="84">
        <v>58280</v>
      </c>
      <c r="F9" s="84">
        <v>35720</v>
      </c>
    </row>
    <row r="10" spans="2:6">
      <c r="B10" s="83" t="s">
        <v>279</v>
      </c>
      <c r="C10" s="83" t="s">
        <v>271</v>
      </c>
      <c r="D10" s="84">
        <v>21000</v>
      </c>
      <c r="E10" s="84">
        <v>18480</v>
      </c>
      <c r="F10" s="84">
        <v>2520</v>
      </c>
    </row>
    <row r="11" spans="2:6" hidden="1">
      <c r="B11" s="83" t="s">
        <v>277</v>
      </c>
      <c r="C11" s="83" t="s">
        <v>273</v>
      </c>
      <c r="D11" s="84">
        <v>50000</v>
      </c>
      <c r="E11" s="84">
        <v>37500</v>
      </c>
      <c r="F11" s="84">
        <v>12500</v>
      </c>
    </row>
    <row r="12" spans="2:6">
      <c r="B12" s="83" t="s">
        <v>279</v>
      </c>
      <c r="C12" s="83" t="s">
        <v>271</v>
      </c>
      <c r="D12" s="84">
        <v>19800</v>
      </c>
      <c r="E12" s="84">
        <v>9504</v>
      </c>
      <c r="F12" s="84">
        <v>10296</v>
      </c>
    </row>
    <row r="13" spans="2:6" hidden="1">
      <c r="B13" s="83" t="s">
        <v>277</v>
      </c>
      <c r="C13" s="83" t="s">
        <v>273</v>
      </c>
      <c r="D13" s="84">
        <v>64000</v>
      </c>
      <c r="E13" s="84">
        <v>42240</v>
      </c>
      <c r="F13" s="84">
        <v>21760</v>
      </c>
    </row>
    <row r="14" spans="2:6" hidden="1">
      <c r="B14" s="83" t="s">
        <v>280</v>
      </c>
      <c r="C14" s="83" t="s">
        <v>271</v>
      </c>
      <c r="D14" s="84">
        <v>19000</v>
      </c>
      <c r="E14" s="84">
        <v>13490</v>
      </c>
      <c r="F14" s="84">
        <v>5510</v>
      </c>
    </row>
    <row r="15" spans="2:6" hidden="1">
      <c r="B15" s="83" t="s">
        <v>277</v>
      </c>
      <c r="C15" s="83" t="s">
        <v>272</v>
      </c>
      <c r="D15" s="84">
        <v>110000</v>
      </c>
      <c r="E15" s="84">
        <v>74800</v>
      </c>
      <c r="F15" s="84">
        <v>35200</v>
      </c>
    </row>
    <row r="16" spans="2:6">
      <c r="B16" s="83" t="s">
        <v>278</v>
      </c>
      <c r="C16" s="83" t="s">
        <v>271</v>
      </c>
      <c r="D16" s="84">
        <v>18000</v>
      </c>
      <c r="E16" s="84">
        <v>9900</v>
      </c>
      <c r="F16" s="84">
        <v>8100</v>
      </c>
    </row>
    <row r="17" spans="2:6" hidden="1">
      <c r="B17" s="83" t="s">
        <v>277</v>
      </c>
      <c r="C17" s="83" t="s">
        <v>273</v>
      </c>
      <c r="D17" s="84">
        <v>75600</v>
      </c>
      <c r="E17" s="84">
        <v>45360</v>
      </c>
      <c r="F17" s="84">
        <v>30240</v>
      </c>
    </row>
    <row r="18" spans="2:6">
      <c r="B18" s="83" t="s">
        <v>279</v>
      </c>
      <c r="C18" s="83" t="s">
        <v>271</v>
      </c>
      <c r="D18" s="84">
        <v>28000</v>
      </c>
      <c r="E18" s="84">
        <v>25760</v>
      </c>
      <c r="F18" s="84">
        <v>2240</v>
      </c>
    </row>
    <row r="19" spans="2:6">
      <c r="B19" s="83" t="s">
        <v>281</v>
      </c>
      <c r="C19" s="83" t="s">
        <v>271</v>
      </c>
      <c r="D19" s="84">
        <v>26800</v>
      </c>
      <c r="E19" s="84">
        <v>19028</v>
      </c>
      <c r="F19" s="84">
        <v>7772</v>
      </c>
    </row>
    <row r="20" spans="2:6">
      <c r="B20" s="4" t="s">
        <v>281</v>
      </c>
      <c r="C20" s="4" t="s">
        <v>274</v>
      </c>
      <c r="D20" s="11">
        <v>79800</v>
      </c>
      <c r="E20" s="11">
        <v>57456</v>
      </c>
      <c r="F20" s="11">
        <v>22344</v>
      </c>
    </row>
    <row r="21" spans="2:6">
      <c r="B21" s="83" t="s">
        <v>278</v>
      </c>
      <c r="C21" s="83" t="s">
        <v>274</v>
      </c>
      <c r="D21" s="84">
        <v>84000</v>
      </c>
      <c r="E21" s="84">
        <v>79800</v>
      </c>
      <c r="F21" s="84">
        <v>4200</v>
      </c>
    </row>
    <row r="22" spans="2:6" hidden="1">
      <c r="B22" s="83" t="s">
        <v>282</v>
      </c>
      <c r="C22" s="83" t="s">
        <v>273</v>
      </c>
      <c r="D22" s="84">
        <v>60000</v>
      </c>
      <c r="E22" s="84">
        <v>58200</v>
      </c>
      <c r="F22" s="84">
        <v>1800</v>
      </c>
    </row>
    <row r="23" spans="2:6" hidden="1">
      <c r="B23" s="83" t="s">
        <v>280</v>
      </c>
      <c r="C23" s="83" t="s">
        <v>272</v>
      </c>
      <c r="D23" s="84">
        <v>120000</v>
      </c>
      <c r="E23" s="84">
        <v>102000</v>
      </c>
      <c r="F23" s="84">
        <v>18000</v>
      </c>
    </row>
  </sheetData>
  <autoFilter ref="B5:F23">
    <filterColumn colId="0">
      <filters>
        <filter val="강동"/>
      </filters>
    </filterColumn>
  </autoFilter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33</vt:i4>
      </vt:variant>
      <vt:variant>
        <vt:lpstr>차트</vt:lpstr>
      </vt:variant>
      <vt:variant>
        <vt:i4>1</vt:i4>
      </vt:variant>
      <vt:variant>
        <vt:lpstr>이름이 지정된 범위</vt:lpstr>
      </vt:variant>
      <vt:variant>
        <vt:i4>10</vt:i4>
      </vt:variant>
    </vt:vector>
  </HeadingPairs>
  <TitlesOfParts>
    <vt:vector size="44" baseType="lpstr">
      <vt:lpstr>피벗1(예제)</vt:lpstr>
      <vt:lpstr>피벗1(결과)</vt:lpstr>
      <vt:lpstr>피벗2(예제)</vt:lpstr>
      <vt:lpstr>서울 85㎡ 이하(결과)</vt:lpstr>
      <vt:lpstr>피벗2(결과)</vt:lpstr>
      <vt:lpstr>통합1(예제)</vt:lpstr>
      <vt:lpstr>통합1(결과)</vt:lpstr>
      <vt:lpstr>통합2(예제)</vt:lpstr>
      <vt:lpstr>통합2(결과)</vt:lpstr>
      <vt:lpstr>정렬1(예제)</vt:lpstr>
      <vt:lpstr>정렬1(결과)</vt:lpstr>
      <vt:lpstr>정렬2(예제)</vt:lpstr>
      <vt:lpstr>정렬2(결과)</vt:lpstr>
      <vt:lpstr>부분합1(예제)</vt:lpstr>
      <vt:lpstr>부분합1(결과)</vt:lpstr>
      <vt:lpstr>부분합2(예제)</vt:lpstr>
      <vt:lpstr>부분합2(결과)</vt:lpstr>
      <vt:lpstr>데이터표1(예제)</vt:lpstr>
      <vt:lpstr>데이터표1(결과)</vt:lpstr>
      <vt:lpstr>데이터표2(예제)</vt:lpstr>
      <vt:lpstr>데이터표2(결과)</vt:lpstr>
      <vt:lpstr>목표값1(예제)</vt:lpstr>
      <vt:lpstr>목표값1(결과)</vt:lpstr>
      <vt:lpstr>목표값2(예제)</vt:lpstr>
      <vt:lpstr>목표값2(결과)</vt:lpstr>
      <vt:lpstr>시나리오1(예제)</vt:lpstr>
      <vt:lpstr>시나리오1(결과)</vt:lpstr>
      <vt:lpstr>시나리오2(예제)</vt:lpstr>
      <vt:lpstr>시나리오2(결과)</vt:lpstr>
      <vt:lpstr>매크로1(예제)</vt:lpstr>
      <vt:lpstr>매크로1(결과)</vt:lpstr>
      <vt:lpstr>매크로2(예제)</vt:lpstr>
      <vt:lpstr>매크로2(결과)</vt:lpstr>
      <vt:lpstr>피벗차트(결과)</vt:lpstr>
      <vt:lpstr>'매크로1(결과)'!MS_Access_Database_Query_1</vt:lpstr>
      <vt:lpstr>'매크로1(예제)'!MS_Access_Database_Query_1</vt:lpstr>
      <vt:lpstr>'시나리오1(예제)'!생산량</vt:lpstr>
      <vt:lpstr>'시나리오1(예제)'!재고단가</vt:lpstr>
      <vt:lpstr>'시나리오1(예제)'!재고량</vt:lpstr>
      <vt:lpstr>재고부담률</vt:lpstr>
      <vt:lpstr>'시나리오1(예제)'!재고비용</vt:lpstr>
      <vt:lpstr>'시나리오1(예제)'!판매단가</vt:lpstr>
      <vt:lpstr>'시나리오1(예제)'!판매량</vt:lpstr>
      <vt:lpstr>'시나리오1(예제)'!판매액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사용자</dc:creator>
  <cp:lastModifiedBy>Registered User</cp:lastModifiedBy>
  <dcterms:created xsi:type="dcterms:W3CDTF">2014-07-03T02:02:57Z</dcterms:created>
  <dcterms:modified xsi:type="dcterms:W3CDTF">2017-10-09T07:02:52Z</dcterms:modified>
</cp:coreProperties>
</file>